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6684069326\Desktop\"/>
    </mc:Choice>
  </mc:AlternateContent>
  <xr:revisionPtr revIDLastSave="0" documentId="13_ncr:1_{7C845424-61A9-4F76-99E8-E61DF03E67F6}" xr6:coauthVersionLast="36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2" l="1"/>
  <c r="C22" i="2"/>
  <c r="B9" i="1"/>
  <c r="B8" i="1"/>
  <c r="B7" i="1"/>
  <c r="B6" i="1"/>
  <c r="C9" i="2"/>
  <c r="B10" i="1" s="1"/>
  <c r="J18" i="2"/>
  <c r="K18" i="2"/>
  <c r="J2" i="2"/>
  <c r="K2" i="2"/>
  <c r="K5" i="2"/>
  <c r="K7" i="2"/>
  <c r="K9" i="2"/>
  <c r="K6" i="2"/>
  <c r="K8" i="2"/>
  <c r="J6" i="2"/>
  <c r="J8" i="2"/>
  <c r="J7" i="2"/>
  <c r="J9" i="2"/>
  <c r="J5" i="2"/>
  <c r="B4" i="1"/>
  <c r="N5" i="2" l="1"/>
  <c r="B13" i="1"/>
  <c r="B16" i="1" s="1"/>
  <c r="B17" i="1" s="1"/>
  <c r="J10" i="1"/>
  <c r="J13" i="1" s="1"/>
  <c r="D5" i="1"/>
  <c r="D6" i="1" s="1"/>
  <c r="B1" i="1"/>
  <c r="J1" i="1" a="1"/>
  <c r="J2" i="1" a="1"/>
  <c r="J4" i="1"/>
  <c r="J2" i="1" l="1"/>
  <c r="J1" i="1"/>
  <c r="D7" i="1"/>
  <c r="J16" i="1"/>
  <c r="J17" i="1" s="1"/>
  <c r="J14" i="1"/>
  <c r="B14" i="1"/>
  <c r="B2" i="1" s="1"/>
  <c r="E5" i="1"/>
  <c r="E6" i="1"/>
  <c r="E7" i="1"/>
  <c r="E4" i="1"/>
  <c r="H5" i="1" l="1"/>
  <c r="H4" i="1"/>
  <c r="H7" i="1"/>
  <c r="H6" i="1"/>
  <c r="D8" i="1"/>
  <c r="E8" i="1"/>
  <c r="H8" i="1" l="1"/>
  <c r="D9" i="1"/>
  <c r="E9" i="1"/>
  <c r="H9" i="1" l="1"/>
  <c r="D10" i="1"/>
  <c r="E10" i="1"/>
  <c r="H10" i="1" l="1"/>
  <c r="D11" i="1"/>
  <c r="E11" i="1"/>
  <c r="H11" i="1" l="1"/>
  <c r="D12" i="1"/>
  <c r="E12" i="1"/>
  <c r="H12" i="1" l="1"/>
  <c r="D13" i="1"/>
  <c r="E13" i="1"/>
  <c r="H13" i="1" l="1"/>
  <c r="D14" i="1"/>
  <c r="E14" i="1"/>
  <c r="H14" i="1" l="1"/>
  <c r="D15" i="1"/>
  <c r="E15" i="1"/>
  <c r="H15" i="1" l="1"/>
  <c r="D16" i="1"/>
  <c r="E16" i="1"/>
  <c r="H16" i="1" l="1"/>
  <c r="D17" i="1"/>
  <c r="E17" i="1"/>
  <c r="H17" i="1" l="1"/>
  <c r="D18" i="1"/>
  <c r="E18" i="1"/>
  <c r="H18" i="1" l="1"/>
  <c r="D19" i="1"/>
  <c r="E19" i="1"/>
  <c r="H19" i="1" l="1"/>
  <c r="D20" i="1"/>
  <c r="E20" i="1"/>
  <c r="H20" i="1" l="1"/>
  <c r="D21" i="1"/>
  <c r="E21" i="1"/>
  <c r="H21" i="1" l="1"/>
  <c r="D22" i="1"/>
  <c r="E22" i="1"/>
  <c r="H22" i="1" l="1"/>
  <c r="D23" i="1"/>
  <c r="E23" i="1"/>
  <c r="H23" i="1" l="1"/>
  <c r="D24" i="1"/>
  <c r="E24" i="1"/>
  <c r="H24" i="1" l="1"/>
  <c r="D25" i="1"/>
  <c r="E25" i="1"/>
  <c r="H25" i="1" l="1"/>
  <c r="D26" i="1"/>
  <c r="E26" i="1"/>
  <c r="H26" i="1" l="1"/>
  <c r="D27" i="1"/>
  <c r="E27" i="1"/>
  <c r="H27" i="1" l="1"/>
  <c r="D28" i="1"/>
  <c r="E28" i="1"/>
  <c r="H28" i="1" l="1"/>
  <c r="D29" i="1"/>
  <c r="E29" i="1"/>
  <c r="H29" i="1" l="1"/>
  <c r="D30" i="1"/>
  <c r="E30" i="1"/>
  <c r="H30" i="1" l="1"/>
  <c r="D31" i="1"/>
  <c r="E31" i="1"/>
  <c r="H31" i="1" l="1"/>
  <c r="D32" i="1"/>
  <c r="E32" i="1"/>
  <c r="H32" i="1" l="1"/>
  <c r="D33" i="1"/>
  <c r="E33" i="1"/>
  <c r="H33" i="1" l="1"/>
  <c r="D34" i="1"/>
  <c r="E34" i="1"/>
  <c r="H34" i="1" l="1"/>
  <c r="D35" i="1"/>
  <c r="E35" i="1"/>
  <c r="H35" i="1" l="1"/>
  <c r="D36" i="1"/>
  <c r="E36" i="1"/>
  <c r="H36" i="1" l="1"/>
  <c r="D37" i="1"/>
  <c r="E37" i="1"/>
  <c r="H37" i="1" l="1"/>
  <c r="D38" i="1"/>
  <c r="E38" i="1"/>
  <c r="H38" i="1" l="1"/>
  <c r="D39" i="1"/>
  <c r="E39" i="1"/>
  <c r="H39" i="1" l="1"/>
  <c r="D40" i="1"/>
  <c r="E40" i="1"/>
  <c r="H40" i="1" l="1"/>
  <c r="D41" i="1"/>
  <c r="E41" i="1"/>
  <c r="H41" i="1" l="1"/>
  <c r="D42" i="1"/>
  <c r="E42" i="1"/>
  <c r="H42" i="1" l="1"/>
  <c r="D43" i="1"/>
  <c r="E43" i="1"/>
  <c r="H43" i="1" l="1"/>
  <c r="D44" i="1"/>
  <c r="E44" i="1"/>
  <c r="H44" i="1" l="1"/>
  <c r="D45" i="1"/>
  <c r="E45" i="1"/>
  <c r="H45" i="1" l="1"/>
  <c r="D46" i="1"/>
  <c r="E46" i="1"/>
  <c r="H46" i="1" l="1"/>
  <c r="D47" i="1"/>
  <c r="E47" i="1"/>
  <c r="H47" i="1" l="1"/>
  <c r="D48" i="1"/>
  <c r="E48" i="1"/>
  <c r="H48" i="1" l="1"/>
  <c r="D49" i="1"/>
  <c r="E49" i="1"/>
  <c r="H49" i="1" l="1"/>
  <c r="D50" i="1"/>
  <c r="E50" i="1"/>
  <c r="H50" i="1" l="1"/>
  <c r="D51" i="1"/>
  <c r="E51" i="1"/>
  <c r="H51" i="1" l="1"/>
  <c r="D52" i="1"/>
  <c r="E52" i="1"/>
  <c r="H52" i="1" l="1"/>
  <c r="D53" i="1"/>
  <c r="E53" i="1"/>
  <c r="H53" i="1" l="1"/>
  <c r="D54" i="1"/>
  <c r="E54" i="1"/>
  <c r="H54" i="1" l="1"/>
  <c r="D55" i="1"/>
  <c r="E55" i="1"/>
  <c r="H55" i="1" l="1"/>
  <c r="D56" i="1"/>
  <c r="E56" i="1"/>
  <c r="H56" i="1" l="1"/>
  <c r="D57" i="1"/>
  <c r="E57" i="1"/>
  <c r="H57" i="1" l="1"/>
  <c r="D58" i="1"/>
  <c r="E58" i="1"/>
  <c r="H58" i="1" l="1"/>
  <c r="D59" i="1"/>
  <c r="E59" i="1"/>
  <c r="H59" i="1" l="1"/>
  <c r="D60" i="1"/>
  <c r="E60" i="1"/>
  <c r="H60" i="1" l="1"/>
  <c r="D61" i="1"/>
  <c r="E61" i="1"/>
  <c r="H61" i="1" l="1"/>
  <c r="D62" i="1"/>
  <c r="E62" i="1"/>
  <c r="H62" i="1" l="1"/>
  <c r="D63" i="1"/>
  <c r="E63" i="1"/>
  <c r="H63" i="1" l="1"/>
  <c r="D64" i="1"/>
  <c r="E64" i="1"/>
  <c r="H64" i="1" l="1"/>
  <c r="D65" i="1"/>
  <c r="E65" i="1"/>
  <c r="H65" i="1" l="1"/>
  <c r="D66" i="1"/>
  <c r="E66" i="1"/>
  <c r="H66" i="1" l="1"/>
  <c r="D67" i="1"/>
  <c r="E67" i="1"/>
  <c r="H67" i="1" l="1"/>
  <c r="D68" i="1"/>
  <c r="E68" i="1"/>
  <c r="H68" i="1" l="1"/>
  <c r="D69" i="1"/>
  <c r="E69" i="1"/>
  <c r="H69" i="1" l="1"/>
  <c r="D70" i="1"/>
  <c r="E70" i="1"/>
  <c r="H70" i="1" l="1"/>
  <c r="D71" i="1"/>
  <c r="E71" i="1"/>
  <c r="H71" i="1" l="1"/>
  <c r="D72" i="1"/>
  <c r="E72" i="1"/>
  <c r="H72" i="1" l="1"/>
  <c r="D73" i="1"/>
  <c r="E73" i="1"/>
  <c r="H73" i="1" l="1"/>
  <c r="D74" i="1"/>
  <c r="E74" i="1"/>
  <c r="H74" i="1" l="1"/>
  <c r="D75" i="1"/>
  <c r="E75" i="1"/>
  <c r="H75" i="1" l="1"/>
  <c r="D76" i="1"/>
  <c r="E76" i="1"/>
  <c r="H76" i="1" l="1"/>
  <c r="D77" i="1"/>
  <c r="E77" i="1"/>
  <c r="H77" i="1" l="1"/>
  <c r="D78" i="1"/>
  <c r="E78" i="1"/>
  <c r="H78" i="1" l="1"/>
  <c r="D79" i="1"/>
  <c r="E79" i="1"/>
  <c r="H79" i="1" l="1"/>
  <c r="D80" i="1"/>
  <c r="E80" i="1"/>
  <c r="H80" i="1" l="1"/>
  <c r="D81" i="1"/>
  <c r="E81" i="1"/>
  <c r="H81" i="1" l="1"/>
  <c r="D82" i="1"/>
  <c r="E82" i="1"/>
  <c r="H82" i="1" l="1"/>
  <c r="D83" i="1"/>
  <c r="E83" i="1"/>
  <c r="H83" i="1" l="1"/>
  <c r="D84" i="1"/>
  <c r="E84" i="1"/>
  <c r="H84" i="1" l="1"/>
  <c r="D85" i="1"/>
  <c r="E85" i="1"/>
  <c r="H85" i="1" l="1"/>
  <c r="D86" i="1"/>
  <c r="E86" i="1"/>
  <c r="H86" i="1" l="1"/>
  <c r="D87" i="1"/>
  <c r="E87" i="1"/>
  <c r="H87" i="1" l="1"/>
  <c r="D88" i="1"/>
  <c r="E88" i="1"/>
  <c r="H88" i="1" l="1"/>
  <c r="D89" i="1"/>
  <c r="E89" i="1"/>
  <c r="H89" i="1" l="1"/>
  <c r="D90" i="1"/>
  <c r="E90" i="1"/>
  <c r="H90" i="1" l="1"/>
  <c r="D91" i="1"/>
  <c r="E91" i="1"/>
  <c r="H91" i="1" l="1"/>
  <c r="D92" i="1"/>
  <c r="E92" i="1"/>
  <c r="H92" i="1" l="1"/>
  <c r="D93" i="1"/>
  <c r="E93" i="1"/>
  <c r="H93" i="1" l="1"/>
  <c r="D94" i="1"/>
  <c r="E94" i="1"/>
  <c r="H94" i="1" l="1"/>
  <c r="D95" i="1"/>
  <c r="E95" i="1"/>
  <c r="H95" i="1" l="1"/>
  <c r="D96" i="1"/>
  <c r="E96" i="1"/>
  <c r="H96" i="1" l="1"/>
  <c r="D97" i="1"/>
  <c r="E97" i="1"/>
  <c r="H97" i="1" l="1"/>
  <c r="D98" i="1"/>
  <c r="E98" i="1"/>
  <c r="H98" i="1" l="1"/>
  <c r="D99" i="1"/>
  <c r="E99" i="1"/>
  <c r="H99" i="1" l="1"/>
  <c r="D100" i="1"/>
  <c r="E100" i="1"/>
  <c r="H100" i="1" l="1"/>
  <c r="D101" i="1"/>
  <c r="E101" i="1"/>
  <c r="H101" i="1" l="1"/>
  <c r="D102" i="1"/>
  <c r="E102" i="1"/>
  <c r="H102" i="1" l="1"/>
  <c r="D103" i="1"/>
  <c r="E103" i="1"/>
  <c r="H103" i="1" l="1"/>
  <c r="D104" i="1"/>
  <c r="E104" i="1"/>
  <c r="H104" i="1" l="1"/>
  <c r="D105" i="1"/>
  <c r="E105" i="1"/>
  <c r="H105" i="1" l="1"/>
  <c r="D106" i="1"/>
  <c r="E106" i="1"/>
  <c r="H106" i="1" l="1"/>
  <c r="D107" i="1"/>
  <c r="E107" i="1"/>
  <c r="H107" i="1" l="1"/>
  <c r="D108" i="1"/>
  <c r="E108" i="1"/>
  <c r="H108" i="1" l="1"/>
  <c r="D109" i="1"/>
  <c r="E109" i="1"/>
  <c r="H109" i="1" l="1"/>
  <c r="D110" i="1"/>
  <c r="E110" i="1"/>
  <c r="H110" i="1" l="1"/>
  <c r="D111" i="1"/>
  <c r="E111" i="1"/>
  <c r="H111" i="1" l="1"/>
  <c r="D112" i="1"/>
  <c r="E112" i="1"/>
  <c r="H112" i="1" l="1"/>
  <c r="D113" i="1"/>
  <c r="E113" i="1"/>
  <c r="H113" i="1" l="1"/>
  <c r="D114" i="1"/>
  <c r="E114" i="1"/>
  <c r="H114" i="1" l="1"/>
  <c r="D115" i="1"/>
  <c r="E115" i="1"/>
  <c r="H115" i="1" l="1"/>
  <c r="D116" i="1"/>
  <c r="E116" i="1"/>
  <c r="H116" i="1" l="1"/>
  <c r="D117" i="1"/>
  <c r="E117" i="1"/>
  <c r="H117" i="1" l="1"/>
  <c r="D118" i="1"/>
  <c r="E118" i="1"/>
  <c r="H118" i="1" l="1"/>
  <c r="D119" i="1"/>
  <c r="E119" i="1"/>
  <c r="H119" i="1" l="1"/>
  <c r="D120" i="1"/>
  <c r="E120" i="1"/>
  <c r="H120" i="1" l="1"/>
  <c r="D121" i="1"/>
  <c r="E121" i="1"/>
  <c r="H121" i="1" l="1"/>
  <c r="D122" i="1"/>
  <c r="E122" i="1"/>
  <c r="H122" i="1" l="1"/>
  <c r="D123" i="1"/>
  <c r="E123" i="1"/>
  <c r="H123" i="1" l="1"/>
  <c r="D124" i="1"/>
  <c r="E124" i="1"/>
  <c r="H124" i="1" l="1"/>
  <c r="D125" i="1"/>
  <c r="E125" i="1"/>
  <c r="H125" i="1" l="1"/>
  <c r="D126" i="1"/>
  <c r="E126" i="1"/>
  <c r="H126" i="1" l="1"/>
  <c r="D127" i="1"/>
  <c r="E127" i="1"/>
  <c r="H127" i="1" l="1"/>
  <c r="D128" i="1"/>
  <c r="E128" i="1"/>
  <c r="H128" i="1" l="1"/>
  <c r="D129" i="1"/>
  <c r="E129" i="1"/>
  <c r="H129" i="1" l="1"/>
  <c r="D130" i="1"/>
  <c r="E130" i="1"/>
  <c r="H130" i="1" l="1"/>
  <c r="D131" i="1"/>
  <c r="E131" i="1"/>
  <c r="H131" i="1" l="1"/>
  <c r="D132" i="1"/>
  <c r="E132" i="1"/>
  <c r="H132" i="1" l="1"/>
  <c r="D133" i="1"/>
  <c r="E133" i="1"/>
  <c r="H133" i="1" l="1"/>
  <c r="D134" i="1"/>
  <c r="E134" i="1"/>
  <c r="H134" i="1" l="1"/>
  <c r="D135" i="1"/>
  <c r="E135" i="1"/>
  <c r="H135" i="1" l="1"/>
  <c r="D136" i="1"/>
  <c r="E136" i="1"/>
  <c r="H136" i="1" l="1"/>
  <c r="D137" i="1"/>
  <c r="E137" i="1"/>
  <c r="H137" i="1" l="1"/>
  <c r="D138" i="1"/>
  <c r="E138" i="1"/>
  <c r="H138" i="1" l="1"/>
  <c r="D139" i="1"/>
  <c r="E139" i="1"/>
  <c r="H139" i="1" l="1"/>
  <c r="D140" i="1"/>
  <c r="E140" i="1"/>
  <c r="H140" i="1" l="1"/>
  <c r="D141" i="1"/>
  <c r="E141" i="1"/>
  <c r="H141" i="1" l="1"/>
  <c r="D142" i="1"/>
  <c r="E142" i="1"/>
  <c r="H142" i="1" l="1"/>
  <c r="D143" i="1"/>
  <c r="E143" i="1"/>
  <c r="H143" i="1" l="1"/>
  <c r="D144" i="1"/>
  <c r="E144" i="1"/>
  <c r="H144" i="1" l="1"/>
  <c r="D145" i="1"/>
  <c r="E145" i="1"/>
  <c r="H145" i="1" l="1"/>
  <c r="D146" i="1"/>
  <c r="E146" i="1"/>
  <c r="H146" i="1" l="1"/>
  <c r="D147" i="1"/>
  <c r="E147" i="1"/>
  <c r="H147" i="1" l="1"/>
  <c r="D148" i="1"/>
  <c r="E148" i="1"/>
  <c r="H148" i="1" l="1"/>
  <c r="D149" i="1"/>
  <c r="E149" i="1"/>
  <c r="H149" i="1" l="1"/>
  <c r="D150" i="1"/>
  <c r="E150" i="1"/>
  <c r="H150" i="1" l="1"/>
  <c r="D151" i="1"/>
  <c r="E151" i="1"/>
  <c r="H151" i="1" l="1"/>
  <c r="D152" i="1"/>
  <c r="E152" i="1"/>
  <c r="H152" i="1" l="1"/>
  <c r="D153" i="1"/>
  <c r="E153" i="1"/>
  <c r="H153" i="1" l="1"/>
  <c r="D154" i="1"/>
  <c r="E154" i="1"/>
  <c r="H154" i="1" l="1"/>
  <c r="D155" i="1"/>
  <c r="E155" i="1"/>
  <c r="H155" i="1" l="1"/>
  <c r="D156" i="1"/>
  <c r="E156" i="1"/>
  <c r="H156" i="1" l="1"/>
  <c r="D157" i="1"/>
  <c r="E157" i="1"/>
  <c r="H157" i="1" l="1"/>
  <c r="D158" i="1"/>
  <c r="E158" i="1"/>
  <c r="H158" i="1" l="1"/>
  <c r="D159" i="1"/>
  <c r="E159" i="1"/>
  <c r="H159" i="1" l="1"/>
  <c r="D160" i="1"/>
  <c r="E160" i="1"/>
  <c r="H160" i="1" l="1"/>
  <c r="D161" i="1"/>
  <c r="E161" i="1"/>
  <c r="H161" i="1" l="1"/>
  <c r="D162" i="1"/>
  <c r="E162" i="1"/>
  <c r="H162" i="1" l="1"/>
  <c r="D163" i="1"/>
  <c r="E163" i="1"/>
  <c r="H163" i="1" l="1"/>
  <c r="D164" i="1"/>
  <c r="E164" i="1"/>
  <c r="H164" i="1" l="1"/>
  <c r="D165" i="1"/>
  <c r="E165" i="1"/>
  <c r="H165" i="1" l="1"/>
  <c r="D166" i="1"/>
  <c r="E166" i="1"/>
  <c r="H166" i="1" l="1"/>
  <c r="D167" i="1"/>
  <c r="E167" i="1"/>
  <c r="H167" i="1" l="1"/>
  <c r="D168" i="1"/>
  <c r="E168" i="1"/>
  <c r="H168" i="1" l="1"/>
  <c r="D169" i="1"/>
  <c r="E169" i="1"/>
  <c r="H169" i="1" l="1"/>
  <c r="D170" i="1"/>
  <c r="E170" i="1"/>
  <c r="H170" i="1" l="1"/>
  <c r="D171" i="1"/>
  <c r="E171" i="1"/>
  <c r="H171" i="1" l="1"/>
  <c r="D172" i="1"/>
  <c r="E172" i="1"/>
  <c r="H172" i="1" l="1"/>
  <c r="D173" i="1"/>
  <c r="E173" i="1"/>
  <c r="H173" i="1" l="1"/>
  <c r="D174" i="1"/>
  <c r="E174" i="1"/>
  <c r="H174" i="1" l="1"/>
  <c r="D175" i="1"/>
  <c r="E175" i="1"/>
  <c r="H175" i="1" l="1"/>
  <c r="D176" i="1"/>
  <c r="E176" i="1"/>
  <c r="H176" i="1" l="1"/>
  <c r="D177" i="1"/>
  <c r="E177" i="1"/>
  <c r="H177" i="1" l="1"/>
  <c r="D178" i="1"/>
  <c r="E178" i="1"/>
  <c r="H178" i="1" l="1"/>
  <c r="D179" i="1"/>
  <c r="E179" i="1"/>
  <c r="H179" i="1" l="1"/>
  <c r="D180" i="1"/>
  <c r="E180" i="1"/>
  <c r="H180" i="1" l="1"/>
  <c r="D181" i="1"/>
  <c r="E181" i="1"/>
  <c r="H181" i="1" l="1"/>
  <c r="D182" i="1"/>
  <c r="E182" i="1"/>
  <c r="H182" i="1" l="1"/>
  <c r="D183" i="1"/>
  <c r="E183" i="1"/>
  <c r="H183" i="1" l="1"/>
  <c r="D184" i="1"/>
  <c r="E184" i="1"/>
  <c r="H184" i="1" l="1"/>
  <c r="D185" i="1"/>
  <c r="E185" i="1"/>
  <c r="H185" i="1" l="1"/>
  <c r="D186" i="1"/>
  <c r="E186" i="1"/>
  <c r="H186" i="1" l="1"/>
  <c r="D187" i="1"/>
  <c r="E187" i="1"/>
  <c r="H187" i="1" l="1"/>
  <c r="D188" i="1"/>
  <c r="E188" i="1"/>
  <c r="H188" i="1" l="1"/>
  <c r="D189" i="1"/>
  <c r="E189" i="1"/>
  <c r="H189" i="1" l="1"/>
  <c r="D190" i="1"/>
  <c r="E190" i="1"/>
  <c r="H190" i="1" l="1"/>
  <c r="D191" i="1"/>
  <c r="E191" i="1"/>
  <c r="H191" i="1" l="1"/>
  <c r="D192" i="1"/>
  <c r="E192" i="1"/>
  <c r="H192" i="1" l="1"/>
  <c r="D193" i="1"/>
  <c r="E193" i="1"/>
  <c r="H193" i="1" l="1"/>
  <c r="D194" i="1"/>
  <c r="E194" i="1"/>
  <c r="H194" i="1" l="1"/>
  <c r="D195" i="1"/>
  <c r="E195" i="1"/>
  <c r="H195" i="1" l="1"/>
  <c r="D196" i="1"/>
  <c r="E196" i="1"/>
  <c r="H196" i="1" l="1"/>
  <c r="D197" i="1"/>
  <c r="E197" i="1"/>
  <c r="H197" i="1" l="1"/>
  <c r="D198" i="1"/>
  <c r="E198" i="1"/>
  <c r="H198" i="1" l="1"/>
  <c r="D199" i="1"/>
  <c r="E199" i="1"/>
  <c r="H199" i="1" l="1"/>
  <c r="D200" i="1"/>
  <c r="E200" i="1"/>
  <c r="H200" i="1" l="1"/>
  <c r="D201" i="1"/>
  <c r="E201" i="1"/>
  <c r="H201" i="1" l="1"/>
  <c r="D202" i="1"/>
  <c r="E202" i="1"/>
  <c r="H202" i="1" l="1"/>
  <c r="D203" i="1"/>
  <c r="E203" i="1"/>
  <c r="H203" i="1" l="1"/>
  <c r="D204" i="1"/>
  <c r="E204" i="1"/>
  <c r="H204" i="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<sst xmlns="http://schemas.openxmlformats.org/spreadsheetml/2006/main" count="67" uniqueCount="43">
  <si>
    <t>Stock Price</t>
  </si>
  <si>
    <t>Strike</t>
  </si>
  <si>
    <t>Vol</t>
  </si>
  <si>
    <t>Interest Rate</t>
  </si>
  <si>
    <t>Time</t>
  </si>
  <si>
    <t>d1</t>
  </si>
  <si>
    <t>d2</t>
  </si>
  <si>
    <t>N(d1)</t>
  </si>
  <si>
    <t>N(d2)</t>
  </si>
  <si>
    <t xml:space="preserve">Call Price </t>
  </si>
  <si>
    <t>Put Price</t>
  </si>
  <si>
    <t>Time Value</t>
  </si>
  <si>
    <t>Intrinsic Value</t>
  </si>
  <si>
    <t>long call</t>
  </si>
  <si>
    <t>short call</t>
  </si>
  <si>
    <t>Sum</t>
  </si>
  <si>
    <t>Delta</t>
  </si>
  <si>
    <t>Gamma</t>
  </si>
  <si>
    <t>Greeks</t>
  </si>
  <si>
    <t>Vega</t>
  </si>
  <si>
    <t>Rho</t>
  </si>
  <si>
    <t>Theta</t>
  </si>
  <si>
    <t>Put Delta</t>
  </si>
  <si>
    <t>Call Delta</t>
  </si>
  <si>
    <t>Stock Bid</t>
  </si>
  <si>
    <t>Stock Offer</t>
  </si>
  <si>
    <t>Rate</t>
  </si>
  <si>
    <t>Time in years</t>
  </si>
  <si>
    <t>Conversion</t>
  </si>
  <si>
    <t>&lt;&lt;- price in the mkt</t>
  </si>
  <si>
    <t>DW Bid</t>
  </si>
  <si>
    <t>DW Offer</t>
  </si>
  <si>
    <t>Don't forget this</t>
  </si>
  <si>
    <t>How many warrants = 1 share</t>
  </si>
  <si>
    <t>&lt;- do not need to divide by conversion</t>
  </si>
  <si>
    <t xml:space="preserve"> - You should begin by sell at vol=80% rather than 35%</t>
  </si>
  <si>
    <t>- If someone buy at 1.21 -&gt; You should buy stock at 25.25 and sell DW</t>
  </si>
  <si>
    <t>Market making:</t>
  </si>
  <si>
    <t>- If someone sell at 1.17 -&gt; selling at Bid 25 and buy DW</t>
  </si>
  <si>
    <t>&lt;- new price</t>
  </si>
  <si>
    <t>Price increased -&gt; cost of hedging became higher-&gt; This is risky</t>
  </si>
  <si>
    <t>&lt;-Big jump</t>
  </si>
  <si>
    <t>&lt;- This is too wide!! -&gt; no one want to trade with you -&gt; mkt markers will make this narrower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</si>
</sst>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-* #,##0.00_-;\-* #,##0.00_-;_-* &quot;-&quot;??_-;_-@_-"/>
    <numFmt numFmtId="165" formatCode="0.000000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3" fillId="0" borderId="0"/>
    <xf numFmtId="164" fontId="3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0" fillId="0" borderId="2" xfId="0" applyBorder="1"/>
    <xf numFmtId="0" fontId="0" fillId="0" borderId="3" xfId="0" applyBorder="1"/>
    <xf numFmtId="0" fontId="0" fillId="3" borderId="1" xfId="0" applyFill="1" applyBorder="1"/>
    <xf numFmtId="0" fontId="0" fillId="2" borderId="4" xfId="0" applyFill="1" applyBorder="1"/>
    <xf numFmtId="0" fontId="0" fillId="4" borderId="5" xfId="0" applyFill="1" applyBorder="1"/>
    <xf numFmtId="0" fontId="1" fillId="5" borderId="4" xfId="0" applyFont="1" applyFill="1" applyBorder="1"/>
    <xf numFmtId="0" fontId="1" fillId="5" borderId="8" xfId="0" applyFont="1" applyFill="1" applyBorder="1"/>
    <xf numFmtId="0" fontId="1" fillId="5" borderId="5" xfId="0" applyFont="1" applyFill="1" applyBorder="1"/>
    <xf numFmtId="0" fontId="0" fillId="6" borderId="2" xfId="0" applyFill="1" applyBorder="1"/>
    <xf numFmtId="0" fontId="0" fillId="6" borderId="7" xfId="0" applyFill="1" applyBorder="1"/>
    <xf numFmtId="10" fontId="0" fillId="6" borderId="7" xfId="0" applyNumberFormat="1" applyFill="1" applyBorder="1"/>
    <xf numFmtId="0" fontId="0" fillId="6" borderId="3" xfId="0" applyFill="1" applyBorder="1"/>
    <xf numFmtId="0" fontId="0" fillId="7" borderId="6" xfId="0" applyFill="1" applyBorder="1"/>
    <xf numFmtId="0" fontId="2" fillId="7" borderId="6" xfId="0" applyFont="1" applyFill="1" applyBorder="1"/>
    <xf numFmtId="9" fontId="0" fillId="6" borderId="7" xfId="0" applyNumberFormat="1" applyFill="1" applyBorder="1"/>
    <xf numFmtId="0" fontId="0" fillId="2" borderId="0" xfId="0" applyFill="1"/>
    <xf numFmtId="165" fontId="0" fillId="0" borderId="0" xfId="0" applyNumberFormat="1"/>
    <xf numFmtId="0" fontId="1" fillId="8" borderId="1" xfId="0" applyFont="1" applyFill="1" applyBorder="1"/>
    <xf numFmtId="9" fontId="0" fillId="0" borderId="0" xfId="0" applyNumberFormat="1"/>
    <xf numFmtId="0" fontId="6" fillId="0" borderId="0" xfId="0" applyFont="1"/>
    <xf numFmtId="0" fontId="5" fillId="5" borderId="0" xfId="0" applyFont="1" applyFill="1"/>
    <xf numFmtId="43" fontId="0" fillId="0" borderId="0" xfId="3" applyFont="1"/>
    <xf numFmtId="0" fontId="5" fillId="5" borderId="0" xfId="0" applyFont="1" applyFill="1" applyAlignment="1">
      <alignment horizontal="center"/>
    </xf>
    <xf numFmtId="43" fontId="0" fillId="2" borderId="0" xfId="3" applyFont="1" applyFill="1"/>
    <xf numFmtId="0" fontId="0" fillId="0" borderId="0" xfId="0" applyNumberFormat="1"/>
  </cellXfs>
  <cellStyles count="4">
    <cellStyle name="Comma" xfId="3" builtinId="3"/>
    <cellStyle name="Comma 2" xfId="2" xr:uid="{024098B8-177F-4E0E-A531-48BBE3DC56D8}"/>
    <cellStyle name="Normal" xfId="0" builtinId="0"/>
    <cellStyle name="Normal 2" xfId="1" xr:uid="{40852DDF-AE7F-434E-A215-F5FA769C2AFD}"/>
  </cellStyles>
  <dxfs count="0"/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Sheet1!$D$4:$D$204</c:f>
              <c:numCache>
                <c:formatCode>General</c:formatCode>
                <c:ptCount val="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Sheet1!$E$4:$E$204</c:f>
              <c:numCache>
                <c:formatCode>General</c:formatCode>
                <c:ptCount val="201"/>
                <c:pt idx="0">
                  <c:v>3.9199689404800942E-61</c:v>
                </c:pt>
                <c:pt idx="1">
                  <c:v>6.0141945527397011E-45</c:v>
                </c:pt>
                <c:pt idx="2">
                  <c:v>1.2068052664619973E-36</c:v>
                </c:pt>
                <c:pt idx="3">
                  <c:v>2.8298660678566002E-31</c:v>
                </c:pt>
                <c:pt idx="4">
                  <c:v>2.0904094129464703E-27</c:v>
                </c:pt>
                <c:pt idx="5">
                  <c:v>1.9445571490896902E-24</c:v>
                </c:pt>
                <c:pt idx="6">
                  <c:v>4.6148674130382556E-22</c:v>
                </c:pt>
                <c:pt idx="7">
                  <c:v>4.1908406014428466E-20</c:v>
                </c:pt>
                <c:pt idx="8">
                  <c:v>1.8750255482392992E-18</c:v>
                </c:pt>
                <c:pt idx="9">
                  <c:v>4.8862313575503915E-17</c:v>
                </c:pt>
                <c:pt idx="10">
                  <c:v>8.3298627508450045E-16</c:v>
                </c:pt>
                <c:pt idx="11">
                  <c:v>1.009956703622771E-14</c:v>
                </c:pt>
                <c:pt idx="12">
                  <c:v>9.2660473390217269E-14</c:v>
                </c:pt>
                <c:pt idx="13">
                  <c:v>6.7434994153228598E-13</c:v>
                </c:pt>
                <c:pt idx="14">
                  <c:v>4.0380348935673972E-12</c:v>
                </c:pt>
                <c:pt idx="15">
                  <c:v>2.0479188905600785E-11</c:v>
                </c:pt>
                <c:pt idx="16">
                  <c:v>9.0032558388332645E-11</c:v>
                </c:pt>
                <c:pt idx="17">
                  <c:v>3.4965362502321135E-10</c:v>
                </c:pt>
                <c:pt idx="18">
                  <c:v>1.2183916478576068E-9</c:v>
                </c:pt>
                <c:pt idx="19">
                  <c:v>3.8589702838996148E-9</c:v>
                </c:pt>
                <c:pt idx="20">
                  <c:v>1.1230986737844715E-8</c:v>
                </c:pt>
                <c:pt idx="21">
                  <c:v>3.0313175184365391E-8</c:v>
                </c:pt>
                <c:pt idx="22">
                  <c:v>7.64772316513151E-8</c:v>
                </c:pt>
                <c:pt idx="23">
                  <c:v>1.8157721664851725E-7</c:v>
                </c:pt>
                <c:pt idx="24">
                  <c:v>4.08098171202256E-7</c:v>
                </c:pt>
                <c:pt idx="25">
                  <c:v>8.7268644870626549E-7</c:v>
                </c:pt>
                <c:pt idx="26">
                  <c:v>1.7835362248675143E-6</c:v>
                </c:pt>
                <c:pt idx="27">
                  <c:v>3.4973747334750011E-6</c:v>
                </c:pt>
                <c:pt idx="28">
                  <c:v>6.6030860735657055E-6</c:v>
                </c:pt>
                <c:pt idx="29">
                  <c:v>1.2040228591814667E-5</c:v>
                </c:pt>
                <c:pt idx="30">
                  <c:v>2.1261707630237676E-5</c:v>
                </c:pt>
                <c:pt idx="31">
                  <c:v>3.6450535061594686E-5</c:v>
                </c:pt>
                <c:pt idx="32">
                  <c:v>6.0800821593614391E-5</c:v>
                </c:pt>
                <c:pt idx="33">
                  <c:v>9.8872812963073662E-5</c:v>
                </c:pt>
                <c:pt idx="34">
                  <c:v>1.5703083652729303E-4</c:v>
                </c:pt>
                <c:pt idx="35">
                  <c:v>2.4397145107244366E-4</c:v>
                </c:pt>
                <c:pt idx="36">
                  <c:v>3.7134691453511327E-4</c:v>
                </c:pt>
                <c:pt idx="37">
                  <c:v>5.5448636919051917E-4</c:v>
                </c:pt>
                <c:pt idx="38">
                  <c:v>8.1321399697483789E-4</c:v>
                </c:pt>
                <c:pt idx="39">
                  <c:v>1.1727599542366053E-3</c:v>
                </c:pt>
                <c:pt idx="40">
                  <c:v>1.6647563107238354E-3</c:v>
                </c:pt>
                <c:pt idx="41">
                  <c:v>2.3283066566805698E-3</c:v>
                </c:pt>
                <c:pt idx="42">
                  <c:v>3.2111146677727687E-3</c:v>
                </c:pt>
                <c:pt idx="43">
                  <c:v>4.3706538821196433E-3</c:v>
                </c:pt>
                <c:pt idx="44">
                  <c:v>5.8753583793390435E-3</c:v>
                </c:pt>
                <c:pt idx="45">
                  <c:v>7.8058120647018225E-3</c:v>
                </c:pt>
                <c:pt idx="46">
                  <c:v>1.0255912928780739E-2</c:v>
                </c:pt>
                <c:pt idx="47">
                  <c:v>1.3333988018943921E-2</c:v>
                </c:pt>
                <c:pt idx="48">
                  <c:v>1.7163834936579192E-2</c:v>
                </c:pt>
                <c:pt idx="49">
                  <c:v>2.1885666445867535E-2</c:v>
                </c:pt>
                <c:pt idx="50">
                  <c:v>2.76569362025188E-2</c:v>
                </c:pt>
                <c:pt idx="51">
                  <c:v>3.4653025617891742E-2</c:v>
                </c:pt>
                <c:pt idx="52">
                  <c:v>4.3067774381572554E-2</c:v>
                </c:pt>
                <c:pt idx="53">
                  <c:v>5.3113840077649299E-2</c:v>
                </c:pt>
                <c:pt idx="54">
                  <c:v>6.5022875543041536E-2</c:v>
                </c:pt>
                <c:pt idx="55">
                  <c:v>7.9045516024432994E-2</c:v>
                </c:pt>
                <c:pt idx="56">
                  <c:v>9.5451171689267755E-2</c:v>
                </c:pt>
                <c:pt idx="57">
                  <c:v>0.11452762453727194</c:v>
                </c:pt>
                <c:pt idx="58">
                  <c:v>0.1365804321515256</c:v>
                </c:pt>
                <c:pt idx="59">
                  <c:v>0.16193214394272482</c:v>
                </c:pt>
                <c:pt idx="60">
                  <c:v>0.19092133850908999</c:v>
                </c:pt>
                <c:pt idx="61">
                  <c:v>0.22390149340317622</c:v>
                </c:pt>
                <c:pt idx="62">
                  <c:v>0.2612397009240448</c:v>
                </c:pt>
                <c:pt idx="63">
                  <c:v>0.30331524551084632</c:v>
                </c:pt>
                <c:pt idx="64">
                  <c:v>0.35051805988576801</c:v>
                </c:pt>
                <c:pt idx="65">
                  <c:v>0.40324707827602202</c:v>
                </c:pt>
                <c:pt idx="66">
                  <c:v>0.46190850584176113</c:v>
                </c:pt>
                <c:pt idx="67">
                  <c:v>0.52691402386360497</c:v>
                </c:pt>
                <c:pt idx="68">
                  <c:v>0.59867895032141227</c:v>
                </c:pt>
                <c:pt idx="69">
                  <c:v>0.67762037525283958</c:v>
                </c:pt>
                <c:pt idx="70">
                  <c:v>0.7641552897471362</c:v>
                </c:pt>
                <c:pt idx="71">
                  <c:v>0.85869872664169744</c:v>
                </c:pt>
                <c:pt idx="72">
                  <c:v>0.96166192998278888</c:v>
                </c:pt>
                <c:pt idx="73">
                  <c:v>1.073450569124117</c:v>
                </c:pt>
                <c:pt idx="74">
                  <c:v>1.1944630120050288</c:v>
                </c:pt>
                <c:pt idx="75">
                  <c:v>1.325088670709345</c:v>
                </c:pt>
                <c:pt idx="76">
                  <c:v>1.4657064308901813</c:v>
                </c:pt>
                <c:pt idx="77">
                  <c:v>1.6166831750872461</c:v>
                </c:pt>
                <c:pt idx="78">
                  <c:v>1.7783724083898367</c:v>
                </c:pt>
                <c:pt idx="79">
                  <c:v>1.9511129933366611</c:v>
                </c:pt>
                <c:pt idx="80">
                  <c:v>2.135227999416017</c:v>
                </c:pt>
                <c:pt idx="81">
                  <c:v>2.3310236710559469</c:v>
                </c:pt>
                <c:pt idx="82">
                  <c:v>2.5387885165898876</c:v>
                </c:pt>
                <c:pt idx="83">
                  <c:v>2.7587925193632685</c:v>
                </c:pt>
                <c:pt idx="84">
                  <c:v>2.99128647091975</c:v>
                </c:pt>
                <c:pt idx="85">
                  <c:v>3.2365014250810198</c:v>
                </c:pt>
                <c:pt idx="86">
                  <c:v>3.494648270715647</c:v>
                </c:pt>
                <c:pt idx="87">
                  <c:v>3.7659174200841434</c:v>
                </c:pt>
                <c:pt idx="88">
                  <c:v>4.05047860884887</c:v>
                </c:pt>
                <c:pt idx="89">
                  <c:v>4.3484808031488456</c:v>
                </c:pt>
                <c:pt idx="90">
                  <c:v>4.6600522085582341</c:v>
                </c:pt>
                <c:pt idx="91">
                  <c:v>4.9853003752687428</c:v>
                </c:pt>
                <c:pt idx="92">
                  <c:v>5.3243123934568253</c:v>
                </c:pt>
                <c:pt idx="93">
                  <c:v>5.6771551725101759</c:v>
                </c:pt>
                <c:pt idx="94">
                  <c:v>6.0438757975882034</c:v>
                </c:pt>
                <c:pt idx="95">
                  <c:v>6.4245019568716728</c:v>
                </c:pt>
                <c:pt idx="96">
                  <c:v>6.8190424328107824</c:v>
                </c:pt>
                <c:pt idx="97">
                  <c:v>7.2274876507000911</c:v>
                </c:pt>
                <c:pt idx="98">
                  <c:v>7.6498102779885642</c:v>
                </c:pt>
                <c:pt idx="99">
                  <c:v>8.0859658678629955</c:v>
                </c:pt>
                <c:pt idx="100">
                  <c:v>8.5358935408198491</c:v>
                </c:pt>
                <c:pt idx="101">
                  <c:v>8.9995166981549346</c:v>
                </c:pt>
                <c:pt idx="102">
                  <c:v>9.4767437615473895</c:v>
                </c:pt>
                <c:pt idx="103">
                  <c:v>9.9674689331882291</c:v>
                </c:pt>
                <c:pt idx="104">
                  <c:v>10.471572971197823</c:v>
                </c:pt>
                <c:pt idx="105">
                  <c:v>10.988923975387316</c:v>
                </c:pt>
                <c:pt idx="106">
                  <c:v>11.519378178740041</c:v>
                </c:pt>
                <c:pt idx="107">
                  <c:v>12.062780740317784</c:v>
                </c:pt>
                <c:pt idx="108">
                  <c:v>12.618966535628076</c:v>
                </c:pt>
                <c:pt idx="109">
                  <c:v>13.187760940819793</c:v>
                </c:pt>
                <c:pt idx="110">
                  <c:v>13.768980607402405</c:v>
                </c:pt>
                <c:pt idx="111">
                  <c:v>14.362434224506394</c:v>
                </c:pt>
                <c:pt idx="112">
                  <c:v>14.967923266016214</c:v>
                </c:pt>
                <c:pt idx="113">
                  <c:v>15.585242720210978</c:v>
                </c:pt>
                <c:pt idx="114">
                  <c:v>16.214181799841228</c:v>
                </c:pt>
                <c:pt idx="115">
                  <c:v>16.854524630848807</c:v>
                </c:pt>
                <c:pt idx="116">
                  <c:v>17.50605091820379</c:v>
                </c:pt>
                <c:pt idx="117">
                  <c:v>18.168536587583105</c:v>
                </c:pt>
                <c:pt idx="118">
                  <c:v>18.84175440185237</c:v>
                </c:pt>
                <c:pt idx="119">
                  <c:v>19.525474551533186</c:v>
                </c:pt>
                <c:pt idx="120">
                  <c:v>20.219465218644189</c:v>
                </c:pt>
                <c:pt idx="121">
                  <c:v>20.923493113494061</c:v>
                </c:pt>
                <c:pt idx="122">
                  <c:v>21.637323984179986</c:v>
                </c:pt>
                <c:pt idx="123">
                  <c:v>22.360723098704966</c:v>
                </c:pt>
                <c:pt idx="124">
                  <c:v>23.093455699772832</c:v>
                </c:pt>
                <c:pt idx="125">
                  <c:v>23.835287432451452</c:v>
                </c:pt>
                <c:pt idx="126">
                  <c:v>24.585984745012254</c:v>
                </c:pt>
                <c:pt idx="127">
                  <c:v>25.345315263358899</c:v>
                </c:pt>
                <c:pt idx="128">
                  <c:v>26.113048139550486</c:v>
                </c:pt>
                <c:pt idx="129">
                  <c:v>26.888954375005952</c:v>
                </c:pt>
                <c:pt idx="130">
                  <c:v>27.672807119044904</c:v>
                </c:pt>
                <c:pt idx="131">
                  <c:v>28.464381943480561</c:v>
                </c:pt>
                <c:pt idx="132">
                  <c:v>29.263457094029903</c:v>
                </c:pt>
                <c:pt idx="133">
                  <c:v>30.069813719346229</c:v>
                </c:pt>
                <c:pt idx="134">
                  <c:v>30.88323607851305</c:v>
                </c:pt>
                <c:pt idx="135">
                  <c:v>31.703511727861738</c:v>
                </c:pt>
                <c:pt idx="136">
                  <c:v>32.530431687993683</c:v>
                </c:pt>
                <c:pt idx="137">
                  <c:v>33.3637905918998</c:v>
                </c:pt>
                <c:pt idx="138">
                  <c:v>34.203386815074509</c:v>
                </c:pt>
                <c:pt idx="139">
                  <c:v>35.049022588522888</c:v>
                </c:pt>
                <c:pt idx="140">
                  <c:v>35.900504095555192</c:v>
                </c:pt>
                <c:pt idx="141">
                  <c:v>36.757641553254061</c:v>
                </c:pt>
                <c:pt idx="142">
                  <c:v>37.620249279488547</c:v>
                </c:pt>
                <c:pt idx="143">
                  <c:v>38.488145746333046</c:v>
                </c:pt>
                <c:pt idx="144">
                  <c:v>39.36115362073167</c:v>
                </c:pt>
                <c:pt idx="145">
                  <c:v>40.239099793228064</c:v>
                </c:pt>
                <c:pt idx="146">
                  <c:v>41.121815395558045</c:v>
                </c:pt>
                <c:pt idx="147">
                  <c:v>42.009135807878408</c:v>
                </c:pt>
                <c:pt idx="148">
                  <c:v>42.90090065638006</c:v>
                </c:pt>
                <c:pt idx="149">
                  <c:v>43.796953802006115</c:v>
                </c:pt>
                <c:pt idx="150">
                  <c:v>44.697143320969388</c:v>
                </c:pt>
                <c:pt idx="151">
                  <c:v>45.601321477734487</c:v>
                </c:pt>
                <c:pt idx="152">
                  <c:v>46.509344691102513</c:v>
                </c:pt>
                <c:pt idx="153">
                  <c:v>47.421073494006279</c:v>
                </c:pt>
                <c:pt idx="154">
                  <c:v>48.33637248759716</c:v>
                </c:pt>
                <c:pt idx="155">
                  <c:v>49.255110290174144</c:v>
                </c:pt>
                <c:pt idx="156">
                  <c:v>50.177159481479606</c:v>
                </c:pt>
                <c:pt idx="157">
                  <c:v>51.102396542856752</c:v>
                </c:pt>
                <c:pt idx="158">
                  <c:v>52.030701793737052</c:v>
                </c:pt>
                <c:pt idx="159">
                  <c:v>52.961959324899496</c:v>
                </c:pt>
                <c:pt idx="160">
                  <c:v>53.896056928916792</c:v>
                </c:pt>
                <c:pt idx="161">
                  <c:v>54.832886028178493</c:v>
                </c:pt>
                <c:pt idx="162">
                  <c:v>55.77234160085672</c:v>
                </c:pt>
                <c:pt idx="163">
                  <c:v>56.714322105155787</c:v>
                </c:pt>
                <c:pt idx="164">
                  <c:v>57.658729402164056</c:v>
                </c:pt>
                <c:pt idx="165">
                  <c:v>58.605468677605188</c:v>
                </c:pt>
                <c:pt idx="166">
                  <c:v>59.554448362762983</c:v>
                </c:pt>
                <c:pt idx="167">
                  <c:v>60.505580054835519</c:v>
                </c:pt>
                <c:pt idx="168">
                  <c:v>61.458778436953679</c:v>
                </c:pt>
                <c:pt idx="169">
                  <c:v>62.413961198080273</c:v>
                </c:pt>
                <c:pt idx="170">
                  <c:v>63.371048952990094</c:v>
                </c:pt>
                <c:pt idx="171">
                  <c:v>64.329965162511968</c:v>
                </c:pt>
                <c:pt idx="172">
                  <c:v>65.29063605420022</c:v>
                </c:pt>
                <c:pt idx="173">
                  <c:v>66.252990543586137</c:v>
                </c:pt>
                <c:pt idx="174">
                  <c:v>67.216960156146669</c:v>
                </c:pt>
                <c:pt idx="175">
                  <c:v>68.182478950114529</c:v>
                </c:pt>
                <c:pt idx="176">
                  <c:v>69.149483440239479</c:v>
                </c:pt>
                <c:pt idx="177">
                  <c:v>70.117912522600989</c:v>
                </c:pt>
                <c:pt idx="178">
                  <c:v>71.087707400559296</c:v>
                </c:pt>
                <c:pt idx="179">
                  <c:v>72.058811511922698</c:v>
                </c:pt>
                <c:pt idx="180">
                  <c:v>73.031170457398588</c:v>
                </c:pt>
                <c:pt idx="181">
                  <c:v>74.004731930386612</c:v>
                </c:pt>
                <c:pt idx="182">
                  <c:v>74.979445648164003</c:v>
                </c:pt>
                <c:pt idx="183">
                  <c:v>75.955263284505534</c:v>
                </c:pt>
                <c:pt idx="184">
                  <c:v>76.932138403772043</c:v>
                </c:pt>
                <c:pt idx="185">
                  <c:v>77.910026396496548</c:v>
                </c:pt>
                <c:pt idx="186">
                  <c:v>78.888884416488892</c:v>
                </c:pt>
                <c:pt idx="187">
                  <c:v>79.868671319475212</c:v>
                </c:pt>
                <c:pt idx="188">
                  <c:v>80.84934760328305</c:v>
                </c:pt>
                <c:pt idx="189">
                  <c:v>81.830875349577553</c:v>
                </c:pt>
                <c:pt idx="190">
                  <c:v>82.813218167150481</c:v>
                </c:pt>
                <c:pt idx="191">
                  <c:v>83.796341136758983</c:v>
                </c:pt>
                <c:pt idx="192">
                  <c:v>84.7802107575082</c:v>
                </c:pt>
                <c:pt idx="193">
                  <c:v>85.764794894767519</c:v>
                </c:pt>
                <c:pt idx="194">
                  <c:v>86.750062729608302</c:v>
                </c:pt>
                <c:pt idx="195">
                  <c:v>87.735984709747044</c:v>
                </c:pt>
                <c:pt idx="196">
                  <c:v>88.722532501976701</c:v>
                </c:pt>
                <c:pt idx="197">
                  <c:v>89.709678946065978</c:v>
                </c:pt>
                <c:pt idx="198">
                  <c:v>90.697398010104578</c:v>
                </c:pt>
                <c:pt idx="199">
                  <c:v>91.68566474727119</c:v>
                </c:pt>
                <c:pt idx="200">
                  <c:v>92.674455253998687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A3-4E59-A1DE-B42B3F45133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Sheet1!$D$4:$D$204</c:f>
              <c:numCache>
                <c:formatCode>General</c:formatCode>
                <c:ptCount val="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Sheet1!$F$4:$F$204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A3-4E59-A1DE-B42B3F45133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Sheet1!$D$4:$D$204</c:f>
              <c:numCache>
                <c:formatCode>General</c:formatCode>
                <c:ptCount val="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Sheet1!$G$4:$G$204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A3-4E59-A1DE-B42B3F45133A}"/>
            </c:ext>
          </c:extLst>
        </c:ser>
        <c:ser>
          <c:idx val="3"/>
          <c:order val="3"/>
          <c:spPr>
            <a:ln w="762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Sheet1!$D$4:$D$204</c:f>
              <c:numCache>
                <c:formatCode>General</c:formatCode>
                <c:ptCount val="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Sheet1!$H$4:$H$204</c:f>
              <c:numCache>
                <c:formatCode>General</c:formatCode>
                <c:ptCount val="201"/>
                <c:pt idx="0">
                  <c:v>3.9199689404800942E-61</c:v>
                </c:pt>
                <c:pt idx="1">
                  <c:v>6.0141945527397011E-45</c:v>
                </c:pt>
                <c:pt idx="2">
                  <c:v>1.2068052664619973E-36</c:v>
                </c:pt>
                <c:pt idx="3">
                  <c:v>2.8298660678566002E-31</c:v>
                </c:pt>
                <c:pt idx="4">
                  <c:v>2.0904094129464703E-27</c:v>
                </c:pt>
                <c:pt idx="5">
                  <c:v>1.9445571490896902E-24</c:v>
                </c:pt>
                <c:pt idx="6">
                  <c:v>4.6148674130382556E-22</c:v>
                </c:pt>
                <c:pt idx="7">
                  <c:v>4.1908406014428466E-20</c:v>
                </c:pt>
                <c:pt idx="8">
                  <c:v>1.8750255482392992E-18</c:v>
                </c:pt>
                <c:pt idx="9">
                  <c:v>4.8862313575503915E-17</c:v>
                </c:pt>
                <c:pt idx="10">
                  <c:v>8.3298627508450045E-16</c:v>
                </c:pt>
                <c:pt idx="11">
                  <c:v>1.009956703622771E-14</c:v>
                </c:pt>
                <c:pt idx="12">
                  <c:v>9.2660473390217269E-14</c:v>
                </c:pt>
                <c:pt idx="13">
                  <c:v>6.7434994153228598E-13</c:v>
                </c:pt>
                <c:pt idx="14">
                  <c:v>4.0380348935673972E-12</c:v>
                </c:pt>
                <c:pt idx="15">
                  <c:v>2.0479188905600785E-11</c:v>
                </c:pt>
                <c:pt idx="16">
                  <c:v>9.0032558388332645E-11</c:v>
                </c:pt>
                <c:pt idx="17">
                  <c:v>3.4965362502321135E-10</c:v>
                </c:pt>
                <c:pt idx="18">
                  <c:v>1.2183916478576068E-9</c:v>
                </c:pt>
                <c:pt idx="19">
                  <c:v>3.8589702838996148E-9</c:v>
                </c:pt>
                <c:pt idx="20">
                  <c:v>1.1230986737844715E-8</c:v>
                </c:pt>
                <c:pt idx="21">
                  <c:v>3.0313175184365391E-8</c:v>
                </c:pt>
                <c:pt idx="22">
                  <c:v>7.64772316513151E-8</c:v>
                </c:pt>
                <c:pt idx="23">
                  <c:v>1.8157721664851725E-7</c:v>
                </c:pt>
                <c:pt idx="24">
                  <c:v>4.08098171202256E-7</c:v>
                </c:pt>
                <c:pt idx="25">
                  <c:v>8.7268644870626549E-7</c:v>
                </c:pt>
                <c:pt idx="26">
                  <c:v>1.7835362248675143E-6</c:v>
                </c:pt>
                <c:pt idx="27">
                  <c:v>3.4973747334750011E-6</c:v>
                </c:pt>
                <c:pt idx="28">
                  <c:v>6.6030860735657055E-6</c:v>
                </c:pt>
                <c:pt idx="29">
                  <c:v>1.2040228591814667E-5</c:v>
                </c:pt>
                <c:pt idx="30">
                  <c:v>2.1261707630237676E-5</c:v>
                </c:pt>
                <c:pt idx="31">
                  <c:v>3.6450535061594686E-5</c:v>
                </c:pt>
                <c:pt idx="32">
                  <c:v>6.0800821593614391E-5</c:v>
                </c:pt>
                <c:pt idx="33">
                  <c:v>9.8872812963073662E-5</c:v>
                </c:pt>
                <c:pt idx="34">
                  <c:v>1.5703083652729303E-4</c:v>
                </c:pt>
                <c:pt idx="35">
                  <c:v>2.4397145107244366E-4</c:v>
                </c:pt>
                <c:pt idx="36">
                  <c:v>3.7134691453511327E-4</c:v>
                </c:pt>
                <c:pt idx="37">
                  <c:v>5.5448636919051917E-4</c:v>
                </c:pt>
                <c:pt idx="38">
                  <c:v>8.1321399697483789E-4</c:v>
                </c:pt>
                <c:pt idx="39">
                  <c:v>1.1727599542366053E-3</c:v>
                </c:pt>
                <c:pt idx="40">
                  <c:v>1.6647563107238354E-3</c:v>
                </c:pt>
                <c:pt idx="41">
                  <c:v>2.3283066566805698E-3</c:v>
                </c:pt>
                <c:pt idx="42">
                  <c:v>3.2111146677727687E-3</c:v>
                </c:pt>
                <c:pt idx="43">
                  <c:v>4.3706538821196433E-3</c:v>
                </c:pt>
                <c:pt idx="44">
                  <c:v>5.8753583793390435E-3</c:v>
                </c:pt>
                <c:pt idx="45">
                  <c:v>7.8058120647018225E-3</c:v>
                </c:pt>
                <c:pt idx="46">
                  <c:v>1.0255912928780739E-2</c:v>
                </c:pt>
                <c:pt idx="47">
                  <c:v>1.3333988018943921E-2</c:v>
                </c:pt>
                <c:pt idx="48">
                  <c:v>1.7163834936579192E-2</c:v>
                </c:pt>
                <c:pt idx="49">
                  <c:v>2.1885666445867535E-2</c:v>
                </c:pt>
                <c:pt idx="50">
                  <c:v>2.76569362025188E-2</c:v>
                </c:pt>
                <c:pt idx="51">
                  <c:v>3.4653025617891742E-2</c:v>
                </c:pt>
                <c:pt idx="52">
                  <c:v>4.3067774381572554E-2</c:v>
                </c:pt>
                <c:pt idx="53">
                  <c:v>5.3113840077649299E-2</c:v>
                </c:pt>
                <c:pt idx="54">
                  <c:v>6.5022875543041536E-2</c:v>
                </c:pt>
                <c:pt idx="55">
                  <c:v>7.9045516024432994E-2</c:v>
                </c:pt>
                <c:pt idx="56">
                  <c:v>9.5451171689267755E-2</c:v>
                </c:pt>
                <c:pt idx="57">
                  <c:v>0.11452762453727194</c:v>
                </c:pt>
                <c:pt idx="58">
                  <c:v>0.1365804321515256</c:v>
                </c:pt>
                <c:pt idx="59">
                  <c:v>0.16193214394272482</c:v>
                </c:pt>
                <c:pt idx="60">
                  <c:v>0.19092133850908999</c:v>
                </c:pt>
                <c:pt idx="61">
                  <c:v>0.22390149340317622</c:v>
                </c:pt>
                <c:pt idx="62">
                  <c:v>0.2612397009240448</c:v>
                </c:pt>
                <c:pt idx="63">
                  <c:v>0.30331524551084632</c:v>
                </c:pt>
                <c:pt idx="64">
                  <c:v>0.35051805988576801</c:v>
                </c:pt>
                <c:pt idx="65">
                  <c:v>0.40324707827602202</c:v>
                </c:pt>
                <c:pt idx="66">
                  <c:v>0.46190850584176113</c:v>
                </c:pt>
                <c:pt idx="67">
                  <c:v>0.52691402386360497</c:v>
                </c:pt>
                <c:pt idx="68">
                  <c:v>0.59867895032141227</c:v>
                </c:pt>
                <c:pt idx="69">
                  <c:v>0.67762037525283958</c:v>
                </c:pt>
                <c:pt idx="70">
                  <c:v>0.7641552897471362</c:v>
                </c:pt>
                <c:pt idx="71">
                  <c:v>0.85869872664169744</c:v>
                </c:pt>
                <c:pt idx="72">
                  <c:v>0.96166192998278888</c:v>
                </c:pt>
                <c:pt idx="73">
                  <c:v>1.073450569124117</c:v>
                </c:pt>
                <c:pt idx="74">
                  <c:v>1.1944630120050288</c:v>
                </c:pt>
                <c:pt idx="75">
                  <c:v>1.325088670709345</c:v>
                </c:pt>
                <c:pt idx="76">
                  <c:v>1.4657064308901813</c:v>
                </c:pt>
                <c:pt idx="77">
                  <c:v>1.6166831750872461</c:v>
                </c:pt>
                <c:pt idx="78">
                  <c:v>1.7783724083898367</c:v>
                </c:pt>
                <c:pt idx="79">
                  <c:v>1.9511129933366611</c:v>
                </c:pt>
                <c:pt idx="80">
                  <c:v>2.135227999416017</c:v>
                </c:pt>
                <c:pt idx="81">
                  <c:v>2.3310236710559469</c:v>
                </c:pt>
                <c:pt idx="82">
                  <c:v>2.5387885165898876</c:v>
                </c:pt>
                <c:pt idx="83">
                  <c:v>2.7587925193632685</c:v>
                </c:pt>
                <c:pt idx="84">
                  <c:v>2.99128647091975</c:v>
                </c:pt>
                <c:pt idx="85">
                  <c:v>3.2365014250810198</c:v>
                </c:pt>
                <c:pt idx="86">
                  <c:v>3.494648270715647</c:v>
                </c:pt>
                <c:pt idx="87">
                  <c:v>3.7659174200841434</c:v>
                </c:pt>
                <c:pt idx="88">
                  <c:v>4.05047860884887</c:v>
                </c:pt>
                <c:pt idx="89">
                  <c:v>4.3484808031488456</c:v>
                </c:pt>
                <c:pt idx="90">
                  <c:v>4.6600522085582341</c:v>
                </c:pt>
                <c:pt idx="91">
                  <c:v>4.9853003752687428</c:v>
                </c:pt>
                <c:pt idx="92">
                  <c:v>5.3243123934568253</c:v>
                </c:pt>
                <c:pt idx="93">
                  <c:v>5.6771551725101759</c:v>
                </c:pt>
                <c:pt idx="94">
                  <c:v>6.0438757975882034</c:v>
                </c:pt>
                <c:pt idx="95">
                  <c:v>6.4245019568716728</c:v>
                </c:pt>
                <c:pt idx="96">
                  <c:v>6.8190424328107824</c:v>
                </c:pt>
                <c:pt idx="97">
                  <c:v>7.2274876507000911</c:v>
                </c:pt>
                <c:pt idx="98">
                  <c:v>7.6498102779885642</c:v>
                </c:pt>
                <c:pt idx="99">
                  <c:v>8.0859658678629955</c:v>
                </c:pt>
                <c:pt idx="100">
                  <c:v>8.5358935408198491</c:v>
                </c:pt>
                <c:pt idx="101">
                  <c:v>8.9995166981549346</c:v>
                </c:pt>
                <c:pt idx="102">
                  <c:v>9.4767437615473895</c:v>
                </c:pt>
                <c:pt idx="103">
                  <c:v>9.9674689331882291</c:v>
                </c:pt>
                <c:pt idx="104">
                  <c:v>10.471572971197823</c:v>
                </c:pt>
                <c:pt idx="105">
                  <c:v>10.988923975387316</c:v>
                </c:pt>
                <c:pt idx="106">
                  <c:v>11.519378178740041</c:v>
                </c:pt>
                <c:pt idx="107">
                  <c:v>12.062780740317784</c:v>
                </c:pt>
                <c:pt idx="108">
                  <c:v>12.618966535628076</c:v>
                </c:pt>
                <c:pt idx="109">
                  <c:v>13.187760940819793</c:v>
                </c:pt>
                <c:pt idx="110">
                  <c:v>13.768980607402405</c:v>
                </c:pt>
                <c:pt idx="111">
                  <c:v>14.362434224506394</c:v>
                </c:pt>
                <c:pt idx="112">
                  <c:v>14.967923266016214</c:v>
                </c:pt>
                <c:pt idx="113">
                  <c:v>15.585242720210978</c:v>
                </c:pt>
                <c:pt idx="114">
                  <c:v>16.214181799841228</c:v>
                </c:pt>
                <c:pt idx="115">
                  <c:v>16.854524630848807</c:v>
                </c:pt>
                <c:pt idx="116">
                  <c:v>17.50605091820379</c:v>
                </c:pt>
                <c:pt idx="117">
                  <c:v>18.168536587583105</c:v>
                </c:pt>
                <c:pt idx="118">
                  <c:v>18.84175440185237</c:v>
                </c:pt>
                <c:pt idx="119">
                  <c:v>19.525474551533186</c:v>
                </c:pt>
                <c:pt idx="120">
                  <c:v>20.219465218644189</c:v>
                </c:pt>
                <c:pt idx="121">
                  <c:v>20.923493113494061</c:v>
                </c:pt>
                <c:pt idx="122">
                  <c:v>21.637323984179986</c:v>
                </c:pt>
                <c:pt idx="123">
                  <c:v>22.360723098704966</c:v>
                </c:pt>
                <c:pt idx="124">
                  <c:v>23.093455699772832</c:v>
                </c:pt>
                <c:pt idx="125">
                  <c:v>23.835287432451452</c:v>
                </c:pt>
                <c:pt idx="126">
                  <c:v>24.585984745012254</c:v>
                </c:pt>
                <c:pt idx="127">
                  <c:v>25.345315263358899</c:v>
                </c:pt>
                <c:pt idx="128">
                  <c:v>26.113048139550486</c:v>
                </c:pt>
                <c:pt idx="129">
                  <c:v>26.888954375005952</c:v>
                </c:pt>
                <c:pt idx="130">
                  <c:v>27.672807119044904</c:v>
                </c:pt>
                <c:pt idx="131">
                  <c:v>28.464381943480561</c:v>
                </c:pt>
                <c:pt idx="132">
                  <c:v>29.263457094029903</c:v>
                </c:pt>
                <c:pt idx="133">
                  <c:v>30.069813719346229</c:v>
                </c:pt>
                <c:pt idx="134">
                  <c:v>30.88323607851305</c:v>
                </c:pt>
                <c:pt idx="135">
                  <c:v>31.703511727861738</c:v>
                </c:pt>
                <c:pt idx="136">
                  <c:v>32.530431687993683</c:v>
                </c:pt>
                <c:pt idx="137">
                  <c:v>33.3637905918998</c:v>
                </c:pt>
                <c:pt idx="138">
                  <c:v>34.203386815074509</c:v>
                </c:pt>
                <c:pt idx="139">
                  <c:v>35.049022588522888</c:v>
                </c:pt>
                <c:pt idx="140">
                  <c:v>35.900504095555192</c:v>
                </c:pt>
                <c:pt idx="141">
                  <c:v>36.757641553254061</c:v>
                </c:pt>
                <c:pt idx="142">
                  <c:v>37.620249279488547</c:v>
                </c:pt>
                <c:pt idx="143">
                  <c:v>38.488145746333046</c:v>
                </c:pt>
                <c:pt idx="144">
                  <c:v>39.36115362073167</c:v>
                </c:pt>
                <c:pt idx="145">
                  <c:v>40.239099793228064</c:v>
                </c:pt>
                <c:pt idx="146">
                  <c:v>41.121815395558045</c:v>
                </c:pt>
                <c:pt idx="147">
                  <c:v>42.009135807878408</c:v>
                </c:pt>
                <c:pt idx="148">
                  <c:v>42.90090065638006</c:v>
                </c:pt>
                <c:pt idx="149">
                  <c:v>43.796953802006115</c:v>
                </c:pt>
                <c:pt idx="150">
                  <c:v>44.697143320969388</c:v>
                </c:pt>
                <c:pt idx="151">
                  <c:v>45.601321477734487</c:v>
                </c:pt>
                <c:pt idx="152">
                  <c:v>46.509344691102513</c:v>
                </c:pt>
                <c:pt idx="153">
                  <c:v>47.421073494006279</c:v>
                </c:pt>
                <c:pt idx="154">
                  <c:v>48.33637248759716</c:v>
                </c:pt>
                <c:pt idx="155">
                  <c:v>49.255110290174144</c:v>
                </c:pt>
                <c:pt idx="156">
                  <c:v>50.177159481479606</c:v>
                </c:pt>
                <c:pt idx="157">
                  <c:v>51.102396542856752</c:v>
                </c:pt>
                <c:pt idx="158">
                  <c:v>52.030701793737052</c:v>
                </c:pt>
                <c:pt idx="159">
                  <c:v>52.961959324899496</c:v>
                </c:pt>
                <c:pt idx="160">
                  <c:v>53.896056928916792</c:v>
                </c:pt>
                <c:pt idx="161">
                  <c:v>54.832886028178493</c:v>
                </c:pt>
                <c:pt idx="162">
                  <c:v>55.77234160085672</c:v>
                </c:pt>
                <c:pt idx="163">
                  <c:v>56.714322105155787</c:v>
                </c:pt>
                <c:pt idx="164">
                  <c:v>57.658729402164056</c:v>
                </c:pt>
                <c:pt idx="165">
                  <c:v>58.605468677605188</c:v>
                </c:pt>
                <c:pt idx="166">
                  <c:v>59.554448362762983</c:v>
                </c:pt>
                <c:pt idx="167">
                  <c:v>60.505580054835519</c:v>
                </c:pt>
                <c:pt idx="168">
                  <c:v>61.458778436953679</c:v>
                </c:pt>
                <c:pt idx="169">
                  <c:v>62.413961198080273</c:v>
                </c:pt>
                <c:pt idx="170">
                  <c:v>63.371048952990094</c:v>
                </c:pt>
                <c:pt idx="171">
                  <c:v>64.329965162511968</c:v>
                </c:pt>
                <c:pt idx="172">
                  <c:v>65.29063605420022</c:v>
                </c:pt>
                <c:pt idx="173">
                  <c:v>66.252990543586137</c:v>
                </c:pt>
                <c:pt idx="174">
                  <c:v>67.216960156146669</c:v>
                </c:pt>
                <c:pt idx="175">
                  <c:v>68.182478950114529</c:v>
                </c:pt>
                <c:pt idx="176">
                  <c:v>69.149483440239479</c:v>
                </c:pt>
                <c:pt idx="177">
                  <c:v>70.117912522600989</c:v>
                </c:pt>
                <c:pt idx="178">
                  <c:v>71.087707400559296</c:v>
                </c:pt>
                <c:pt idx="179">
                  <c:v>72.058811511922698</c:v>
                </c:pt>
                <c:pt idx="180">
                  <c:v>73.031170457398588</c:v>
                </c:pt>
                <c:pt idx="181">
                  <c:v>74.004731930386612</c:v>
                </c:pt>
                <c:pt idx="182">
                  <c:v>74.979445648164003</c:v>
                </c:pt>
                <c:pt idx="183">
                  <c:v>75.955263284505534</c:v>
                </c:pt>
                <c:pt idx="184">
                  <c:v>76.932138403772043</c:v>
                </c:pt>
                <c:pt idx="185">
                  <c:v>77.910026396496548</c:v>
                </c:pt>
                <c:pt idx="186">
                  <c:v>78.888884416488892</c:v>
                </c:pt>
                <c:pt idx="187">
                  <c:v>79.868671319475212</c:v>
                </c:pt>
                <c:pt idx="188">
                  <c:v>80.84934760328305</c:v>
                </c:pt>
                <c:pt idx="189">
                  <c:v>81.830875349577553</c:v>
                </c:pt>
                <c:pt idx="190">
                  <c:v>82.813218167150481</c:v>
                </c:pt>
                <c:pt idx="191">
                  <c:v>83.796341136758983</c:v>
                </c:pt>
                <c:pt idx="192">
                  <c:v>84.7802107575082</c:v>
                </c:pt>
                <c:pt idx="193">
                  <c:v>85.764794894767519</c:v>
                </c:pt>
                <c:pt idx="194">
                  <c:v>86.750062729608302</c:v>
                </c:pt>
                <c:pt idx="195">
                  <c:v>87.735984709747044</c:v>
                </c:pt>
                <c:pt idx="196">
                  <c:v>88.722532501976701</c:v>
                </c:pt>
                <c:pt idx="197">
                  <c:v>89.709678946065978</c:v>
                </c:pt>
                <c:pt idx="198">
                  <c:v>90.697398010104578</c:v>
                </c:pt>
                <c:pt idx="199">
                  <c:v>91.68566474727119</c:v>
                </c:pt>
                <c:pt idx="200">
                  <c:v>92.674455253998687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A3-4E59-A1DE-B42B3F451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706095"/>
        <c:axId val="713704431"/>
      </c:scatterChart>
      <c:valAx>
        <c:axId val="713706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704431"/>
        <c:crosses val="autoZero"/>
        <c:crossBetween val="midCat"/>
      </c:valAx>
      <c:valAx>
        <c:axId val="713704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706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356483</xdr:colOff>
      <xdr:row>2</xdr:row>
      <xdr:rowOff>152400</xdr:rowOff>
    </xdr:from>
    <xdr:to>
      <xdr:col>18</xdr:col>
      <xdr:colOff>54333</xdr:colOff>
      <xdr:row>17</xdr:row>
      <xdr:rowOff>112643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04"/>
  <sheetViews>
    <sheetView zoomScale="130" zoomScaleNormal="130" zoomScaleSheetLayoutView="50" workbookViewId="0">
      <selection activeCell="C15" sqref="C15"/>
    </sheetView>
  </sheetViews>
  <sheetFormatPr defaultRowHeight="15" x14ac:dyDescent="0.25"/>
  <cols>
    <col min="1" max="1" width="12.7109375" bestFit="1" customWidth="1"/>
    <col min="2" max="2" width="9.28515625" bestFit="1" customWidth="1"/>
    <col min="4" max="4" width="9.28515625" bestFit="1" customWidth="1"/>
    <col min="5" max="5" width="14.7109375" bestFit="1" customWidth="1"/>
    <col min="6" max="6" width="15.42578125" bestFit="1" customWidth="1"/>
    <col min="7" max="7" width="9.28515625" bestFit="1" customWidth="1"/>
    <col min="8" max="8" width="14.7109375" bestFit="1" customWidth="1"/>
    <col min="9" max="9" width="11.5703125" bestFit="1" customWidth="1"/>
    <col min="10" max="10" width="9.28515625" bestFit="1" customWidth="1"/>
    <col min="11" max="11" width="12.28515625" bestFit="1" customWidth="1"/>
  </cols>
  <sheetData>
    <row r="1" spans="1:10" ht="15.75" thickBot="1" x14ac:dyDescent="0.3">
      <c r="A1" s="5" t="s">
        <v>12</v>
      </c>
      <c r="B1" s="2">
        <f>MAX(0,B6-B7*EXP(-B9*B10))</f>
        <v>2.3266148119802885</v>
      </c>
      <c r="I1" s="19" t="s">
        <v>23</v>
      </c>
      <c r="J1" s="14" cm="1">
        <f t="array" ref="J1">BS_Call_Delta(J6,J7,J8,J9,J10)</f>
        <v>0.56918677460878864</v>
      </c>
    </row>
    <row r="2" spans="1:10" ht="15.75" thickBot="1" x14ac:dyDescent="0.3">
      <c r="A2" s="6" t="s">
        <v>11</v>
      </c>
      <c r="B2" s="3">
        <f>B4-B1</f>
        <v>1.9248086575303649</v>
      </c>
      <c r="D2" t="s">
        <v>1</v>
      </c>
      <c r="E2" s="17">
        <v>110</v>
      </c>
      <c r="F2" s="17">
        <v>150</v>
      </c>
      <c r="G2" s="17">
        <v>100</v>
      </c>
      <c r="I2" s="19" t="s">
        <v>22</v>
      </c>
      <c r="J2" s="14" cm="1">
        <f t="array" ref="J2">BS_Put_Delta(J6,J7,J8,J9,J10)</f>
        <v>0.43081322539121136</v>
      </c>
    </row>
    <row r="3" spans="1:10" ht="15.75" thickBot="1" x14ac:dyDescent="0.3">
      <c r="B3" s="1"/>
      <c r="D3" t="s">
        <v>0</v>
      </c>
      <c r="E3" t="s">
        <v>13</v>
      </c>
      <c r="F3" t="s">
        <v>14</v>
      </c>
      <c r="H3" t="s">
        <v>15</v>
      </c>
      <c r="J3" s="18"/>
    </row>
    <row r="4" spans="1:10" ht="15.75" thickBot="1" x14ac:dyDescent="0.3">
      <c r="A4" s="4" t="s">
        <v>9</v>
      </c>
      <c r="B4" s="15">
        <f>BS_Call(B6,B7,B8,B9,B10)</f>
        <v>4.2514234695106534</v>
      </c>
      <c r="D4">
        <v>1</v>
      </c>
      <c r="E4">
        <f t="shared" ref="E4:E67" si="0">BS_Call(D4,$E$2,$B$8,$B$9,$B$10)</f>
        <v>3.9199689404800942E-61</v>
      </c>
      <c r="H4">
        <f>G4+F4+E4</f>
        <v>3.9199689404800942E-61</v>
      </c>
      <c r="I4" s="4" t="s">
        <v>10</v>
      </c>
      <c r="J4" s="14">
        <f>BS_Put(J6,J7,J8,J9,J10)</f>
        <v>12.079805061885104</v>
      </c>
    </row>
    <row r="5" spans="1:10" ht="15.75" thickBot="1" x14ac:dyDescent="0.3">
      <c r="C5" t="s">
        <v>18</v>
      </c>
      <c r="D5">
        <f>D4+1</f>
        <v>2</v>
      </c>
      <c r="E5">
        <f t="shared" si="0"/>
        <v>6.0141945527397011E-45</v>
      </c>
      <c r="H5">
        <f t="shared" ref="H5:H68" si="1">G5+F5+E5</f>
        <v>6.0141945527397011E-45</v>
      </c>
    </row>
    <row r="6" spans="1:10" x14ac:dyDescent="0.25">
      <c r="A6" s="7" t="s">
        <v>0</v>
      </c>
      <c r="B6" s="10">
        <f>Sheet2!E5</f>
        <v>27</v>
      </c>
      <c r="C6" t="s">
        <v>16</v>
      </c>
      <c r="D6">
        <f t="shared" ref="D6:D69" si="2">D5+1</f>
        <v>3</v>
      </c>
      <c r="E6">
        <f t="shared" si="0"/>
        <v>1.2068052664619973E-36</v>
      </c>
      <c r="H6">
        <f t="shared" si="1"/>
        <v>1.2068052664619973E-36</v>
      </c>
      <c r="I6" s="7" t="s">
        <v>0</v>
      </c>
      <c r="J6" s="10">
        <v>125.94</v>
      </c>
    </row>
    <row r="7" spans="1:10" x14ac:dyDescent="0.25">
      <c r="A7" s="8" t="s">
        <v>1</v>
      </c>
      <c r="B7" s="11">
        <f>Sheet2!$C$5</f>
        <v>25</v>
      </c>
      <c r="C7" t="s">
        <v>17</v>
      </c>
      <c r="D7">
        <f t="shared" si="2"/>
        <v>4</v>
      </c>
      <c r="E7">
        <f t="shared" si="0"/>
        <v>2.8298660678566002E-31</v>
      </c>
      <c r="H7">
        <f t="shared" si="1"/>
        <v>2.8298660678566002E-31</v>
      </c>
      <c r="I7" s="8" t="s">
        <v>1</v>
      </c>
      <c r="J7" s="11">
        <v>125</v>
      </c>
    </row>
    <row r="8" spans="1:10" x14ac:dyDescent="0.25">
      <c r="A8" s="8" t="s">
        <v>2</v>
      </c>
      <c r="B8" s="16">
        <f>Sheet2!$C$6</f>
        <v>0.5</v>
      </c>
      <c r="C8" t="s">
        <v>19</v>
      </c>
      <c r="D8">
        <f t="shared" si="2"/>
        <v>5</v>
      </c>
      <c r="E8">
        <f t="shared" si="0"/>
        <v>2.0904094129464703E-27</v>
      </c>
      <c r="H8">
        <f t="shared" si="1"/>
        <v>2.0904094129464703E-27</v>
      </c>
      <c r="I8" s="8" t="s">
        <v>2</v>
      </c>
      <c r="J8" s="16">
        <v>0.83</v>
      </c>
    </row>
    <row r="9" spans="1:10" x14ac:dyDescent="0.25">
      <c r="A9" s="8" t="s">
        <v>3</v>
      </c>
      <c r="B9" s="12">
        <f>Sheet2!$C$7</f>
        <v>0.04</v>
      </c>
      <c r="C9" t="s">
        <v>20</v>
      </c>
      <c r="D9">
        <f t="shared" si="2"/>
        <v>6</v>
      </c>
      <c r="E9">
        <f t="shared" si="0"/>
        <v>1.9445571490896902E-24</v>
      </c>
      <c r="H9">
        <f t="shared" si="1"/>
        <v>1.9445571490896902E-24</v>
      </c>
      <c r="I9" s="8" t="s">
        <v>3</v>
      </c>
      <c r="J9" s="12">
        <v>4.4600000000000001E-2</v>
      </c>
    </row>
    <row r="10" spans="1:10" ht="15.75" thickBot="1" x14ac:dyDescent="0.3">
      <c r="A10" s="9" t="s">
        <v>4</v>
      </c>
      <c r="B10" s="13">
        <f>Sheet2!$C$9</f>
        <v>0.32876712328767121</v>
      </c>
      <c r="C10" t="s">
        <v>21</v>
      </c>
      <c r="D10">
        <f t="shared" si="2"/>
        <v>7</v>
      </c>
      <c r="E10">
        <f t="shared" si="0"/>
        <v>4.6148674130382556E-22</v>
      </c>
      <c r="H10">
        <f t="shared" si="1"/>
        <v>4.6148674130382556E-22</v>
      </c>
      <c r="I10" s="9" t="s">
        <v>4</v>
      </c>
      <c r="J10" s="13">
        <f>0.0959</f>
        <v>9.5899999999999999E-2</v>
      </c>
    </row>
    <row r="11" spans="1:10" x14ac:dyDescent="0.25">
      <c r="D11">
        <f t="shared" si="2"/>
        <v>8</v>
      </c>
      <c r="E11">
        <f t="shared" si="0"/>
        <v>4.1908406014428466E-20</v>
      </c>
      <c r="H11">
        <f t="shared" si="1"/>
        <v>4.1908406014428466E-20</v>
      </c>
    </row>
    <row r="12" spans="1:10" ht="15.75" thickBot="1" x14ac:dyDescent="0.3">
      <c r="D12">
        <f t="shared" si="2"/>
        <v>9</v>
      </c>
      <c r="E12">
        <f t="shared" si="0"/>
        <v>1.8750255482392992E-18</v>
      </c>
      <c r="H12">
        <f t="shared" si="1"/>
        <v>1.8750255482392992E-18</v>
      </c>
    </row>
    <row r="13" spans="1:10" x14ac:dyDescent="0.25">
      <c r="A13" s="7" t="s">
        <v>5</v>
      </c>
      <c r="B13" s="10">
        <f>(LN(B6/B7)+(B9+B8^2/2)*B10)/(B8*SQRT(B10))</f>
        <v>0.45766199671182933</v>
      </c>
      <c r="C13" s="1"/>
      <c r="D13">
        <f t="shared" si="2"/>
        <v>10</v>
      </c>
      <c r="E13">
        <f t="shared" si="0"/>
        <v>4.8862313575503915E-17</v>
      </c>
      <c r="H13">
        <f t="shared" si="1"/>
        <v>4.8862313575503915E-17</v>
      </c>
      <c r="I13" s="7" t="s">
        <v>5</v>
      </c>
      <c r="J13" s="10">
        <f>(LN(J6/J7)+(J9+J8^2/2)*J10)/(J8*SQRT(J10))</f>
        <v>0.17430413366084443</v>
      </c>
    </row>
    <row r="14" spans="1:10" ht="15.75" thickBot="1" x14ac:dyDescent="0.3">
      <c r="A14" s="9" t="s">
        <v>7</v>
      </c>
      <c r="B14" s="13">
        <f>NORMSDIST(B13)</f>
        <v>0.67640235246127778</v>
      </c>
      <c r="D14">
        <f t="shared" si="2"/>
        <v>11</v>
      </c>
      <c r="E14">
        <f t="shared" si="0"/>
        <v>8.3298627508450045E-16</v>
      </c>
      <c r="H14">
        <f t="shared" si="1"/>
        <v>8.3298627508450045E-16</v>
      </c>
      <c r="I14" s="9" t="s">
        <v>7</v>
      </c>
      <c r="J14" s="13">
        <f>NORMSDIST(J13)</f>
        <v>0.56918677460878864</v>
      </c>
    </row>
    <row r="15" spans="1:10" ht="15.75" thickBot="1" x14ac:dyDescent="0.3">
      <c r="D15">
        <f t="shared" si="2"/>
        <v>12</v>
      </c>
      <c r="E15">
        <f t="shared" si="0"/>
        <v>1.009956703622771E-14</v>
      </c>
      <c r="H15">
        <f t="shared" si="1"/>
        <v>1.009956703622771E-14</v>
      </c>
    </row>
    <row r="16" spans="1:10" x14ac:dyDescent="0.25">
      <c r="A16" s="7" t="s">
        <v>6</v>
      </c>
      <c r="B16" s="10">
        <f>B13-B8*SQRT(B10)</f>
        <v>0.1709709071713314</v>
      </c>
      <c r="C16" s="1"/>
      <c r="D16">
        <f t="shared" si="2"/>
        <v>13</v>
      </c>
      <c r="E16">
        <f t="shared" si="0"/>
        <v>9.2660473390217269E-14</v>
      </c>
      <c r="H16">
        <f t="shared" si="1"/>
        <v>9.2660473390217269E-14</v>
      </c>
      <c r="I16" s="7" t="s">
        <v>6</v>
      </c>
      <c r="J16" s="10">
        <f>J13-J8*SQRT(J10)</f>
        <v>-8.2727984954709149E-2</v>
      </c>
    </row>
    <row r="17" spans="1:10" ht="15.75" thickBot="1" x14ac:dyDescent="0.3">
      <c r="A17" s="9" t="s">
        <v>8</v>
      </c>
      <c r="B17" s="13">
        <f>NORMSDIST(B16)</f>
        <v>0.56787667927087582</v>
      </c>
      <c r="C17" s="1"/>
      <c r="D17">
        <f t="shared" si="2"/>
        <v>14</v>
      </c>
      <c r="E17">
        <f t="shared" si="0"/>
        <v>6.7434994153228598E-13</v>
      </c>
      <c r="H17">
        <f t="shared" si="1"/>
        <v>6.7434994153228598E-13</v>
      </c>
      <c r="I17" s="9" t="s">
        <v>8</v>
      </c>
      <c r="J17" s="13">
        <f>NORMSDIST(J16)</f>
        <v>0.46703391618126788</v>
      </c>
    </row>
    <row r="18" spans="1:10" x14ac:dyDescent="0.25">
      <c r="D18">
        <f t="shared" si="2"/>
        <v>15</v>
      </c>
      <c r="E18">
        <f t="shared" si="0"/>
        <v>4.0380348935673972E-12</v>
      </c>
      <c r="H18">
        <f t="shared" si="1"/>
        <v>4.0380348935673972E-12</v>
      </c>
    </row>
    <row r="19" spans="1:10" x14ac:dyDescent="0.25">
      <c r="D19">
        <f t="shared" si="2"/>
        <v>16</v>
      </c>
      <c r="E19">
        <f t="shared" si="0"/>
        <v>2.0479188905600785E-11</v>
      </c>
      <c r="H19">
        <f t="shared" si="1"/>
        <v>2.0479188905600785E-11</v>
      </c>
    </row>
    <row r="20" spans="1:10" x14ac:dyDescent="0.25">
      <c r="D20">
        <f t="shared" si="2"/>
        <v>17</v>
      </c>
      <c r="E20">
        <f t="shared" si="0"/>
        <v>9.0032558388332645E-11</v>
      </c>
      <c r="H20">
        <f t="shared" si="1"/>
        <v>9.0032558388332645E-11</v>
      </c>
    </row>
    <row r="21" spans="1:10" x14ac:dyDescent="0.25">
      <c r="D21">
        <f t="shared" si="2"/>
        <v>18</v>
      </c>
      <c r="E21">
        <f t="shared" si="0"/>
        <v>3.4965362502321135E-10</v>
      </c>
      <c r="H21">
        <f t="shared" si="1"/>
        <v>3.4965362502321135E-10</v>
      </c>
    </row>
    <row r="22" spans="1:10" x14ac:dyDescent="0.25">
      <c r="D22">
        <f t="shared" si="2"/>
        <v>19</v>
      </c>
      <c r="E22">
        <f t="shared" si="0"/>
        <v>1.2183916478576068E-9</v>
      </c>
      <c r="H22">
        <f t="shared" si="1"/>
        <v>1.2183916478576068E-9</v>
      </c>
    </row>
    <row r="23" spans="1:10" x14ac:dyDescent="0.25">
      <c r="D23">
        <f t="shared" si="2"/>
        <v>20</v>
      </c>
      <c r="E23">
        <f t="shared" si="0"/>
        <v>3.8589702838996148E-9</v>
      </c>
      <c r="H23">
        <f t="shared" si="1"/>
        <v>3.8589702838996148E-9</v>
      </c>
    </row>
    <row r="24" spans="1:10" x14ac:dyDescent="0.25">
      <c r="D24">
        <f t="shared" si="2"/>
        <v>21</v>
      </c>
      <c r="E24">
        <f t="shared" si="0"/>
        <v>1.1230986737844715E-8</v>
      </c>
      <c r="H24">
        <f t="shared" si="1"/>
        <v>1.1230986737844715E-8</v>
      </c>
    </row>
    <row r="25" spans="1:10" x14ac:dyDescent="0.25">
      <c r="D25">
        <f t="shared" si="2"/>
        <v>22</v>
      </c>
      <c r="E25">
        <f t="shared" si="0"/>
        <v>3.0313175184365391E-8</v>
      </c>
      <c r="H25">
        <f t="shared" si="1"/>
        <v>3.0313175184365391E-8</v>
      </c>
    </row>
    <row r="26" spans="1:10" x14ac:dyDescent="0.25">
      <c r="D26">
        <f t="shared" si="2"/>
        <v>23</v>
      </c>
      <c r="E26">
        <f t="shared" si="0"/>
        <v>7.64772316513151E-8</v>
      </c>
      <c r="H26">
        <f t="shared" si="1"/>
        <v>7.64772316513151E-8</v>
      </c>
    </row>
    <row r="27" spans="1:10" x14ac:dyDescent="0.25">
      <c r="D27">
        <f t="shared" si="2"/>
        <v>24</v>
      </c>
      <c r="E27">
        <f t="shared" si="0"/>
        <v>1.8157721664851725E-7</v>
      </c>
      <c r="H27">
        <f t="shared" si="1"/>
        <v>1.8157721664851725E-7</v>
      </c>
    </row>
    <row r="28" spans="1:10" x14ac:dyDescent="0.25">
      <c r="D28">
        <f t="shared" si="2"/>
        <v>25</v>
      </c>
      <c r="E28">
        <f t="shared" si="0"/>
        <v>4.08098171202256E-7</v>
      </c>
      <c r="H28">
        <f t="shared" si="1"/>
        <v>4.08098171202256E-7</v>
      </c>
    </row>
    <row r="29" spans="1:10" x14ac:dyDescent="0.25">
      <c r="D29">
        <f t="shared" si="2"/>
        <v>26</v>
      </c>
      <c r="E29">
        <f t="shared" si="0"/>
        <v>8.7268644870626549E-7</v>
      </c>
      <c r="H29">
        <f t="shared" si="1"/>
        <v>8.7268644870626549E-7</v>
      </c>
    </row>
    <row r="30" spans="1:10" x14ac:dyDescent="0.25">
      <c r="D30">
        <f t="shared" si="2"/>
        <v>27</v>
      </c>
      <c r="E30">
        <f t="shared" si="0"/>
        <v>1.7835362248675143E-6</v>
      </c>
      <c r="H30">
        <f t="shared" si="1"/>
        <v>1.7835362248675143E-6</v>
      </c>
    </row>
    <row r="31" spans="1:10" x14ac:dyDescent="0.25">
      <c r="D31">
        <f t="shared" si="2"/>
        <v>28</v>
      </c>
      <c r="E31">
        <f t="shared" si="0"/>
        <v>3.4973747334750011E-6</v>
      </c>
      <c r="H31">
        <f t="shared" si="1"/>
        <v>3.4973747334750011E-6</v>
      </c>
    </row>
    <row r="32" spans="1:10" x14ac:dyDescent="0.25">
      <c r="D32">
        <f t="shared" si="2"/>
        <v>29</v>
      </c>
      <c r="E32">
        <f t="shared" si="0"/>
        <v>6.6030860735657055E-6</v>
      </c>
      <c r="H32">
        <f t="shared" si="1"/>
        <v>6.6030860735657055E-6</v>
      </c>
    </row>
    <row r="33" spans="4:8" x14ac:dyDescent="0.25">
      <c r="D33">
        <f t="shared" si="2"/>
        <v>30</v>
      </c>
      <c r="E33">
        <f t="shared" si="0"/>
        <v>1.2040228591814667E-5</v>
      </c>
      <c r="H33">
        <f t="shared" si="1"/>
        <v>1.2040228591814667E-5</v>
      </c>
    </row>
    <row r="34" spans="4:8" x14ac:dyDescent="0.25">
      <c r="D34">
        <f t="shared" si="2"/>
        <v>31</v>
      </c>
      <c r="E34">
        <f t="shared" si="0"/>
        <v>2.1261707630237676E-5</v>
      </c>
      <c r="H34">
        <f t="shared" si="1"/>
        <v>2.1261707630237676E-5</v>
      </c>
    </row>
    <row r="35" spans="4:8" x14ac:dyDescent="0.25">
      <c r="D35">
        <f t="shared" si="2"/>
        <v>32</v>
      </c>
      <c r="E35">
        <f t="shared" si="0"/>
        <v>3.6450535061594686E-5</v>
      </c>
      <c r="H35">
        <f t="shared" si="1"/>
        <v>3.6450535061594686E-5</v>
      </c>
    </row>
    <row r="36" spans="4:8" x14ac:dyDescent="0.25">
      <c r="D36">
        <f t="shared" si="2"/>
        <v>33</v>
      </c>
      <c r="E36">
        <f t="shared" si="0"/>
        <v>6.0800821593614391E-5</v>
      </c>
      <c r="H36">
        <f t="shared" si="1"/>
        <v>6.0800821593614391E-5</v>
      </c>
    </row>
    <row r="37" spans="4:8" x14ac:dyDescent="0.25">
      <c r="D37">
        <f t="shared" si="2"/>
        <v>34</v>
      </c>
      <c r="E37">
        <f t="shared" si="0"/>
        <v>9.8872812963073662E-5</v>
      </c>
      <c r="H37">
        <f t="shared" si="1"/>
        <v>9.8872812963073662E-5</v>
      </c>
    </row>
    <row r="38" spans="4:8" x14ac:dyDescent="0.25">
      <c r="D38">
        <f t="shared" si="2"/>
        <v>35</v>
      </c>
      <c r="E38">
        <f t="shared" si="0"/>
        <v>1.5703083652729303E-4</v>
      </c>
      <c r="H38">
        <f t="shared" si="1"/>
        <v>1.5703083652729303E-4</v>
      </c>
    </row>
    <row r="39" spans="4:8" x14ac:dyDescent="0.25">
      <c r="D39">
        <f t="shared" si="2"/>
        <v>36</v>
      </c>
      <c r="E39">
        <f t="shared" si="0"/>
        <v>2.4397145107244366E-4</v>
      </c>
      <c r="H39">
        <f t="shared" si="1"/>
        <v>2.4397145107244366E-4</v>
      </c>
    </row>
    <row r="40" spans="4:8" x14ac:dyDescent="0.25">
      <c r="D40">
        <f t="shared" si="2"/>
        <v>37</v>
      </c>
      <c r="E40">
        <f t="shared" si="0"/>
        <v>3.7134691453511327E-4</v>
      </c>
      <c r="H40">
        <f t="shared" si="1"/>
        <v>3.7134691453511327E-4</v>
      </c>
    </row>
    <row r="41" spans="4:8" x14ac:dyDescent="0.25">
      <c r="D41">
        <f t="shared" si="2"/>
        <v>38</v>
      </c>
      <c r="E41">
        <f t="shared" si="0"/>
        <v>5.5448636919051917E-4</v>
      </c>
      <c r="H41">
        <f t="shared" si="1"/>
        <v>5.5448636919051917E-4</v>
      </c>
    </row>
    <row r="42" spans="4:8" x14ac:dyDescent="0.25">
      <c r="D42">
        <f t="shared" si="2"/>
        <v>39</v>
      </c>
      <c r="E42">
        <f t="shared" si="0"/>
        <v>8.1321399697483789E-4</v>
      </c>
      <c r="H42">
        <f t="shared" si="1"/>
        <v>8.1321399697483789E-4</v>
      </c>
    </row>
    <row r="43" spans="4:8" x14ac:dyDescent="0.25">
      <c r="D43">
        <f t="shared" si="2"/>
        <v>40</v>
      </c>
      <c r="E43">
        <f t="shared" si="0"/>
        <v>1.1727599542366053E-3</v>
      </c>
      <c r="H43">
        <f t="shared" si="1"/>
        <v>1.1727599542366053E-3</v>
      </c>
    </row>
    <row r="44" spans="4:8" x14ac:dyDescent="0.25">
      <c r="D44">
        <f t="shared" si="2"/>
        <v>41</v>
      </c>
      <c r="E44">
        <f t="shared" si="0"/>
        <v>1.6647563107238354E-3</v>
      </c>
      <c r="H44">
        <f t="shared" si="1"/>
        <v>1.6647563107238354E-3</v>
      </c>
    </row>
    <row r="45" spans="4:8" x14ac:dyDescent="0.25">
      <c r="D45">
        <f t="shared" si="2"/>
        <v>42</v>
      </c>
      <c r="E45">
        <f t="shared" si="0"/>
        <v>2.3283066566805698E-3</v>
      </c>
      <c r="H45">
        <f t="shared" si="1"/>
        <v>2.3283066566805698E-3</v>
      </c>
    </row>
    <row r="46" spans="4:8" x14ac:dyDescent="0.25">
      <c r="D46">
        <f t="shared" si="2"/>
        <v>43</v>
      </c>
      <c r="E46">
        <f t="shared" si="0"/>
        <v>3.2111146677727687E-3</v>
      </c>
      <c r="H46">
        <f t="shared" si="1"/>
        <v>3.2111146677727687E-3</v>
      </c>
    </row>
    <row r="47" spans="4:8" x14ac:dyDescent="0.25">
      <c r="D47">
        <f t="shared" si="2"/>
        <v>44</v>
      </c>
      <c r="E47">
        <f t="shared" si="0"/>
        <v>4.3706538821196433E-3</v>
      </c>
      <c r="H47">
        <f t="shared" si="1"/>
        <v>4.3706538821196433E-3</v>
      </c>
    </row>
    <row r="48" spans="4:8" x14ac:dyDescent="0.25">
      <c r="D48">
        <f t="shared" si="2"/>
        <v>45</v>
      </c>
      <c r="E48">
        <f t="shared" si="0"/>
        <v>5.8753583793390435E-3</v>
      </c>
      <c r="H48">
        <f t="shared" si="1"/>
        <v>5.8753583793390435E-3</v>
      </c>
    </row>
    <row r="49" spans="4:8" x14ac:dyDescent="0.25">
      <c r="D49">
        <f t="shared" si="2"/>
        <v>46</v>
      </c>
      <c r="E49">
        <f t="shared" si="0"/>
        <v>7.8058120647018225E-3</v>
      </c>
      <c r="H49">
        <f t="shared" si="1"/>
        <v>7.8058120647018225E-3</v>
      </c>
    </row>
    <row r="50" spans="4:8" x14ac:dyDescent="0.25">
      <c r="D50">
        <f t="shared" si="2"/>
        <v>47</v>
      </c>
      <c r="E50">
        <f t="shared" si="0"/>
        <v>1.0255912928780739E-2</v>
      </c>
      <c r="H50">
        <f t="shared" si="1"/>
        <v>1.0255912928780739E-2</v>
      </c>
    </row>
    <row r="51" spans="4:8" x14ac:dyDescent="0.25">
      <c r="D51">
        <f t="shared" si="2"/>
        <v>48</v>
      </c>
      <c r="E51">
        <f t="shared" si="0"/>
        <v>1.3333988018943921E-2</v>
      </c>
      <c r="H51">
        <f t="shared" si="1"/>
        <v>1.3333988018943921E-2</v>
      </c>
    </row>
    <row r="52" spans="4:8" x14ac:dyDescent="0.25">
      <c r="D52">
        <f t="shared" si="2"/>
        <v>49</v>
      </c>
      <c r="E52">
        <f t="shared" si="0"/>
        <v>1.7163834936579192E-2</v>
      </c>
      <c r="H52">
        <f t="shared" si="1"/>
        <v>1.7163834936579192E-2</v>
      </c>
    </row>
    <row r="53" spans="4:8" x14ac:dyDescent="0.25">
      <c r="D53">
        <f t="shared" si="2"/>
        <v>50</v>
      </c>
      <c r="E53">
        <f t="shared" si="0"/>
        <v>2.1885666445867535E-2</v>
      </c>
      <c r="H53">
        <f t="shared" si="1"/>
        <v>2.1885666445867535E-2</v>
      </c>
    </row>
    <row r="54" spans="4:8" x14ac:dyDescent="0.25">
      <c r="D54">
        <f t="shared" si="2"/>
        <v>51</v>
      </c>
      <c r="E54">
        <f t="shared" si="0"/>
        <v>2.76569362025188E-2</v>
      </c>
      <c r="H54">
        <f t="shared" si="1"/>
        <v>2.76569362025188E-2</v>
      </c>
    </row>
    <row r="55" spans="4:8" x14ac:dyDescent="0.25">
      <c r="D55">
        <f t="shared" si="2"/>
        <v>52</v>
      </c>
      <c r="E55">
        <f t="shared" si="0"/>
        <v>3.4653025617891742E-2</v>
      </c>
      <c r="H55">
        <f t="shared" si="1"/>
        <v>3.4653025617891742E-2</v>
      </c>
    </row>
    <row r="56" spans="4:8" x14ac:dyDescent="0.25">
      <c r="D56">
        <f t="shared" si="2"/>
        <v>53</v>
      </c>
      <c r="E56">
        <f t="shared" si="0"/>
        <v>4.3067774381572554E-2</v>
      </c>
      <c r="H56">
        <f t="shared" si="1"/>
        <v>4.3067774381572554E-2</v>
      </c>
    </row>
    <row r="57" spans="4:8" x14ac:dyDescent="0.25">
      <c r="D57">
        <f t="shared" si="2"/>
        <v>54</v>
      </c>
      <c r="E57">
        <f t="shared" si="0"/>
        <v>5.3113840077649299E-2</v>
      </c>
      <c r="H57">
        <f t="shared" si="1"/>
        <v>5.3113840077649299E-2</v>
      </c>
    </row>
    <row r="58" spans="4:8" x14ac:dyDescent="0.25">
      <c r="D58">
        <f t="shared" si="2"/>
        <v>55</v>
      </c>
      <c r="E58">
        <f t="shared" si="0"/>
        <v>6.5022875543041536E-2</v>
      </c>
      <c r="H58">
        <f t="shared" si="1"/>
        <v>6.5022875543041536E-2</v>
      </c>
    </row>
    <row r="59" spans="4:8" x14ac:dyDescent="0.25">
      <c r="D59">
        <f t="shared" si="2"/>
        <v>56</v>
      </c>
      <c r="E59">
        <f t="shared" si="0"/>
        <v>7.9045516024432994E-2</v>
      </c>
      <c r="H59">
        <f t="shared" si="1"/>
        <v>7.9045516024432994E-2</v>
      </c>
    </row>
    <row r="60" spans="4:8" x14ac:dyDescent="0.25">
      <c r="D60">
        <f t="shared" si="2"/>
        <v>57</v>
      </c>
      <c r="E60">
        <f t="shared" si="0"/>
        <v>9.5451171689267755E-2</v>
      </c>
      <c r="H60">
        <f t="shared" si="1"/>
        <v>9.5451171689267755E-2</v>
      </c>
    </row>
    <row r="61" spans="4:8" x14ac:dyDescent="0.25">
      <c r="D61">
        <f t="shared" si="2"/>
        <v>58</v>
      </c>
      <c r="E61">
        <f t="shared" si="0"/>
        <v>0.11452762453727194</v>
      </c>
      <c r="H61">
        <f t="shared" si="1"/>
        <v>0.11452762453727194</v>
      </c>
    </row>
    <row r="62" spans="4:8" x14ac:dyDescent="0.25">
      <c r="D62">
        <f t="shared" si="2"/>
        <v>59</v>
      </c>
      <c r="E62">
        <f t="shared" si="0"/>
        <v>0.1365804321515256</v>
      </c>
      <c r="H62">
        <f t="shared" si="1"/>
        <v>0.1365804321515256</v>
      </c>
    </row>
    <row r="63" spans="4:8" x14ac:dyDescent="0.25">
      <c r="D63">
        <f t="shared" si="2"/>
        <v>60</v>
      </c>
      <c r="E63">
        <f t="shared" si="0"/>
        <v>0.16193214394272482</v>
      </c>
      <c r="H63">
        <f t="shared" si="1"/>
        <v>0.16193214394272482</v>
      </c>
    </row>
    <row r="64" spans="4:8" x14ac:dyDescent="0.25">
      <c r="D64">
        <f t="shared" si="2"/>
        <v>61</v>
      </c>
      <c r="E64">
        <f t="shared" si="0"/>
        <v>0.19092133850908999</v>
      </c>
      <c r="H64">
        <f t="shared" si="1"/>
        <v>0.19092133850908999</v>
      </c>
    </row>
    <row r="65" spans="4:8" x14ac:dyDescent="0.25">
      <c r="D65">
        <f t="shared" si="2"/>
        <v>62</v>
      </c>
      <c r="E65">
        <f t="shared" si="0"/>
        <v>0.22390149340317622</v>
      </c>
      <c r="H65">
        <f t="shared" si="1"/>
        <v>0.22390149340317622</v>
      </c>
    </row>
    <row r="66" spans="4:8" x14ac:dyDescent="0.25">
      <c r="D66">
        <f t="shared" si="2"/>
        <v>63</v>
      </c>
      <c r="E66">
        <f t="shared" si="0"/>
        <v>0.2612397009240448</v>
      </c>
      <c r="H66">
        <f t="shared" si="1"/>
        <v>0.2612397009240448</v>
      </c>
    </row>
    <row r="67" spans="4:8" x14ac:dyDescent="0.25">
      <c r="D67">
        <f t="shared" si="2"/>
        <v>64</v>
      </c>
      <c r="E67">
        <f t="shared" si="0"/>
        <v>0.30331524551084632</v>
      </c>
      <c r="H67">
        <f t="shared" si="1"/>
        <v>0.30331524551084632</v>
      </c>
    </row>
    <row r="68" spans="4:8" x14ac:dyDescent="0.25">
      <c r="D68">
        <f t="shared" si="2"/>
        <v>65</v>
      </c>
      <c r="E68">
        <f t="shared" ref="E68:E131" si="3">BS_Call(D68,$E$2,$B$8,$B$9,$B$10)</f>
        <v>0.35051805988576801</v>
      </c>
      <c r="H68">
        <f t="shared" si="1"/>
        <v>0.35051805988576801</v>
      </c>
    </row>
    <row r="69" spans="4:8" x14ac:dyDescent="0.25">
      <c r="D69">
        <f t="shared" si="2"/>
        <v>66</v>
      </c>
      <c r="E69">
        <f t="shared" si="3"/>
        <v>0.40324707827602202</v>
      </c>
      <c r="H69">
        <f t="shared" ref="H69:H132" si="4">G69+F69+E69</f>
        <v>0.40324707827602202</v>
      </c>
    </row>
    <row r="70" spans="4:8" x14ac:dyDescent="0.25">
      <c r="D70">
        <f t="shared" ref="D70:D133" si="5">D69+1</f>
        <v>67</v>
      </c>
      <c r="E70">
        <f t="shared" si="3"/>
        <v>0.46190850584176113</v>
      </c>
      <c r="H70">
        <f t="shared" si="4"/>
        <v>0.46190850584176113</v>
      </c>
    </row>
    <row r="71" spans="4:8" x14ac:dyDescent="0.25">
      <c r="D71">
        <f t="shared" si="5"/>
        <v>68</v>
      </c>
      <c r="E71">
        <f t="shared" si="3"/>
        <v>0.52691402386360497</v>
      </c>
      <c r="H71">
        <f t="shared" si="4"/>
        <v>0.52691402386360497</v>
      </c>
    </row>
    <row r="72" spans="4:8" x14ac:dyDescent="0.25">
      <c r="D72">
        <f t="shared" si="5"/>
        <v>69</v>
      </c>
      <c r="E72">
        <f t="shared" si="3"/>
        <v>0.59867895032141227</v>
      </c>
      <c r="H72">
        <f t="shared" si="4"/>
        <v>0.59867895032141227</v>
      </c>
    </row>
    <row r="73" spans="4:8" x14ac:dyDescent="0.25">
      <c r="D73">
        <f t="shared" si="5"/>
        <v>70</v>
      </c>
      <c r="E73">
        <f t="shared" si="3"/>
        <v>0.67762037525283958</v>
      </c>
      <c r="H73">
        <f t="shared" si="4"/>
        <v>0.67762037525283958</v>
      </c>
    </row>
    <row r="74" spans="4:8" x14ac:dyDescent="0.25">
      <c r="D74">
        <f t="shared" si="5"/>
        <v>71</v>
      </c>
      <c r="E74">
        <f t="shared" si="3"/>
        <v>0.7641552897471362</v>
      </c>
      <c r="H74">
        <f t="shared" si="4"/>
        <v>0.7641552897471362</v>
      </c>
    </row>
    <row r="75" spans="4:8" x14ac:dyDescent="0.25">
      <c r="D75">
        <f t="shared" si="5"/>
        <v>72</v>
      </c>
      <c r="E75">
        <f t="shared" si="3"/>
        <v>0.85869872664169744</v>
      </c>
      <c r="H75">
        <f t="shared" si="4"/>
        <v>0.85869872664169744</v>
      </c>
    </row>
    <row r="76" spans="4:8" x14ac:dyDescent="0.25">
      <c r="D76">
        <f t="shared" si="5"/>
        <v>73</v>
      </c>
      <c r="E76">
        <f t="shared" si="3"/>
        <v>0.96166192998278888</v>
      </c>
      <c r="H76">
        <f t="shared" si="4"/>
        <v>0.96166192998278888</v>
      </c>
    </row>
    <row r="77" spans="4:8" x14ac:dyDescent="0.25">
      <c r="D77">
        <f t="shared" si="5"/>
        <v>74</v>
      </c>
      <c r="E77">
        <f t="shared" si="3"/>
        <v>1.073450569124117</v>
      </c>
      <c r="H77">
        <f t="shared" si="4"/>
        <v>1.073450569124117</v>
      </c>
    </row>
    <row r="78" spans="4:8" x14ac:dyDescent="0.25">
      <c r="D78">
        <f t="shared" si="5"/>
        <v>75</v>
      </c>
      <c r="E78">
        <f t="shared" si="3"/>
        <v>1.1944630120050288</v>
      </c>
      <c r="H78">
        <f t="shared" si="4"/>
        <v>1.1944630120050288</v>
      </c>
    </row>
    <row r="79" spans="4:8" x14ac:dyDescent="0.25">
      <c r="D79">
        <f t="shared" si="5"/>
        <v>76</v>
      </c>
      <c r="E79">
        <f t="shared" si="3"/>
        <v>1.325088670709345</v>
      </c>
      <c r="H79">
        <f t="shared" si="4"/>
        <v>1.325088670709345</v>
      </c>
    </row>
    <row r="80" spans="4:8" x14ac:dyDescent="0.25">
      <c r="D80">
        <f t="shared" si="5"/>
        <v>77</v>
      </c>
      <c r="E80">
        <f t="shared" si="3"/>
        <v>1.4657064308901813</v>
      </c>
      <c r="H80">
        <f t="shared" si="4"/>
        <v>1.4657064308901813</v>
      </c>
    </row>
    <row r="81" spans="4:8" x14ac:dyDescent="0.25">
      <c r="D81">
        <f t="shared" si="5"/>
        <v>78</v>
      </c>
      <c r="E81">
        <f t="shared" si="3"/>
        <v>1.6166831750872461</v>
      </c>
      <c r="H81">
        <f t="shared" si="4"/>
        <v>1.6166831750872461</v>
      </c>
    </row>
    <row r="82" spans="4:8" x14ac:dyDescent="0.25">
      <c r="D82">
        <f t="shared" si="5"/>
        <v>79</v>
      </c>
      <c r="E82">
        <f t="shared" si="3"/>
        <v>1.7783724083898367</v>
      </c>
      <c r="H82">
        <f t="shared" si="4"/>
        <v>1.7783724083898367</v>
      </c>
    </row>
    <row r="83" spans="4:8" x14ac:dyDescent="0.25">
      <c r="D83">
        <f t="shared" si="5"/>
        <v>80</v>
      </c>
      <c r="E83">
        <f t="shared" si="3"/>
        <v>1.9511129933366611</v>
      </c>
      <c r="H83">
        <f t="shared" si="4"/>
        <v>1.9511129933366611</v>
      </c>
    </row>
    <row r="84" spans="4:8" x14ac:dyDescent="0.25">
      <c r="D84">
        <f t="shared" si="5"/>
        <v>81</v>
      </c>
      <c r="E84">
        <f t="shared" si="3"/>
        <v>2.135227999416017</v>
      </c>
      <c r="H84">
        <f t="shared" si="4"/>
        <v>2.135227999416017</v>
      </c>
    </row>
    <row r="85" spans="4:8" x14ac:dyDescent="0.25">
      <c r="D85">
        <f t="shared" si="5"/>
        <v>82</v>
      </c>
      <c r="E85">
        <f t="shared" si="3"/>
        <v>2.3310236710559469</v>
      </c>
      <c r="H85">
        <f t="shared" si="4"/>
        <v>2.3310236710559469</v>
      </c>
    </row>
    <row r="86" spans="4:8" x14ac:dyDescent="0.25">
      <c r="D86">
        <f t="shared" si="5"/>
        <v>83</v>
      </c>
      <c r="E86">
        <f t="shared" si="3"/>
        <v>2.5387885165898876</v>
      </c>
      <c r="H86">
        <f t="shared" si="4"/>
        <v>2.5387885165898876</v>
      </c>
    </row>
    <row r="87" spans="4:8" x14ac:dyDescent="0.25">
      <c r="D87">
        <f t="shared" si="5"/>
        <v>84</v>
      </c>
      <c r="E87">
        <f t="shared" si="3"/>
        <v>2.7587925193632685</v>
      </c>
      <c r="H87">
        <f t="shared" si="4"/>
        <v>2.7587925193632685</v>
      </c>
    </row>
    <row r="88" spans="4:8" x14ac:dyDescent="0.25">
      <c r="D88">
        <f t="shared" si="5"/>
        <v>85</v>
      </c>
      <c r="E88">
        <f t="shared" si="3"/>
        <v>2.99128647091975</v>
      </c>
      <c r="H88">
        <f t="shared" si="4"/>
        <v>2.99128647091975</v>
      </c>
    </row>
    <row r="89" spans="4:8" x14ac:dyDescent="0.25">
      <c r="D89">
        <f t="shared" si="5"/>
        <v>86</v>
      </c>
      <c r="E89">
        <f t="shared" si="3"/>
        <v>3.2365014250810198</v>
      </c>
      <c r="H89">
        <f t="shared" si="4"/>
        <v>3.2365014250810198</v>
      </c>
    </row>
    <row r="90" spans="4:8" x14ac:dyDescent="0.25">
      <c r="D90">
        <f t="shared" si="5"/>
        <v>87</v>
      </c>
      <c r="E90">
        <f t="shared" si="3"/>
        <v>3.494648270715647</v>
      </c>
      <c r="H90">
        <f t="shared" si="4"/>
        <v>3.494648270715647</v>
      </c>
    </row>
    <row r="91" spans="4:8" x14ac:dyDescent="0.25">
      <c r="D91">
        <f t="shared" si="5"/>
        <v>88</v>
      </c>
      <c r="E91">
        <f t="shared" si="3"/>
        <v>3.7659174200841434</v>
      </c>
      <c r="H91">
        <f t="shared" si="4"/>
        <v>3.7659174200841434</v>
      </c>
    </row>
    <row r="92" spans="4:8" x14ac:dyDescent="0.25">
      <c r="D92">
        <f t="shared" si="5"/>
        <v>89</v>
      </c>
      <c r="E92">
        <f t="shared" si="3"/>
        <v>4.05047860884887</v>
      </c>
      <c r="H92">
        <f t="shared" si="4"/>
        <v>4.05047860884887</v>
      </c>
    </row>
    <row r="93" spans="4:8" x14ac:dyDescent="0.25">
      <c r="D93">
        <f t="shared" si="5"/>
        <v>90</v>
      </c>
      <c r="E93">
        <f t="shared" si="3"/>
        <v>4.3484808031488456</v>
      </c>
      <c r="H93">
        <f t="shared" si="4"/>
        <v>4.3484808031488456</v>
      </c>
    </row>
    <row r="94" spans="4:8" x14ac:dyDescent="0.25">
      <c r="D94">
        <f t="shared" si="5"/>
        <v>91</v>
      </c>
      <c r="E94">
        <f t="shared" si="3"/>
        <v>4.6600522085582341</v>
      </c>
      <c r="H94">
        <f t="shared" si="4"/>
        <v>4.6600522085582341</v>
      </c>
    </row>
    <row r="95" spans="4:8" x14ac:dyDescent="0.25">
      <c r="D95">
        <f t="shared" si="5"/>
        <v>92</v>
      </c>
      <c r="E95">
        <f t="shared" si="3"/>
        <v>4.9853003752687428</v>
      </c>
      <c r="H95">
        <f t="shared" si="4"/>
        <v>4.9853003752687428</v>
      </c>
    </row>
    <row r="96" spans="4:8" x14ac:dyDescent="0.25">
      <c r="D96">
        <f t="shared" si="5"/>
        <v>93</v>
      </c>
      <c r="E96">
        <f t="shared" si="3"/>
        <v>5.3243123934568253</v>
      </c>
      <c r="H96">
        <f t="shared" si="4"/>
        <v>5.3243123934568253</v>
      </c>
    </row>
    <row r="97" spans="4:8" x14ac:dyDescent="0.25">
      <c r="D97">
        <f t="shared" si="5"/>
        <v>94</v>
      </c>
      <c r="E97">
        <f t="shared" si="3"/>
        <v>5.6771551725101759</v>
      </c>
      <c r="H97">
        <f t="shared" si="4"/>
        <v>5.6771551725101759</v>
      </c>
    </row>
    <row r="98" spans="4:8" x14ac:dyDescent="0.25">
      <c r="D98">
        <f t="shared" si="5"/>
        <v>95</v>
      </c>
      <c r="E98">
        <f t="shared" si="3"/>
        <v>6.0438757975882034</v>
      </c>
      <c r="H98">
        <f t="shared" si="4"/>
        <v>6.0438757975882034</v>
      </c>
    </row>
    <row r="99" spans="4:8" x14ac:dyDescent="0.25">
      <c r="D99">
        <f t="shared" si="5"/>
        <v>96</v>
      </c>
      <c r="E99">
        <f t="shared" si="3"/>
        <v>6.4245019568716728</v>
      </c>
      <c r="H99">
        <f t="shared" si="4"/>
        <v>6.4245019568716728</v>
      </c>
    </row>
    <row r="100" spans="4:8" x14ac:dyDescent="0.25">
      <c r="D100">
        <f t="shared" si="5"/>
        <v>97</v>
      </c>
      <c r="E100">
        <f t="shared" si="3"/>
        <v>6.8190424328107824</v>
      </c>
      <c r="H100">
        <f t="shared" si="4"/>
        <v>6.8190424328107824</v>
      </c>
    </row>
    <row r="101" spans="4:8" x14ac:dyDescent="0.25">
      <c r="D101">
        <f t="shared" si="5"/>
        <v>98</v>
      </c>
      <c r="E101">
        <f t="shared" si="3"/>
        <v>7.2274876507000911</v>
      </c>
      <c r="H101">
        <f t="shared" si="4"/>
        <v>7.2274876507000911</v>
      </c>
    </row>
    <row r="102" spans="4:8" x14ac:dyDescent="0.25">
      <c r="D102">
        <f t="shared" si="5"/>
        <v>99</v>
      </c>
      <c r="E102">
        <f t="shared" si="3"/>
        <v>7.6498102779885642</v>
      </c>
      <c r="H102">
        <f t="shared" si="4"/>
        <v>7.6498102779885642</v>
      </c>
    </row>
    <row r="103" spans="4:8" x14ac:dyDescent="0.25">
      <c r="D103">
        <f t="shared" si="5"/>
        <v>100</v>
      </c>
      <c r="E103">
        <f t="shared" si="3"/>
        <v>8.0859658678629955</v>
      </c>
      <c r="H103">
        <f t="shared" si="4"/>
        <v>8.0859658678629955</v>
      </c>
    </row>
    <row r="104" spans="4:8" x14ac:dyDescent="0.25">
      <c r="D104">
        <f t="shared" si="5"/>
        <v>101</v>
      </c>
      <c r="E104">
        <f t="shared" si="3"/>
        <v>8.5358935408198491</v>
      </c>
      <c r="H104">
        <f t="shared" si="4"/>
        <v>8.5358935408198491</v>
      </c>
    </row>
    <row r="105" spans="4:8" x14ac:dyDescent="0.25">
      <c r="D105">
        <f t="shared" si="5"/>
        <v>102</v>
      </c>
      <c r="E105">
        <f t="shared" si="3"/>
        <v>8.9995166981549346</v>
      </c>
      <c r="H105">
        <f t="shared" si="4"/>
        <v>8.9995166981549346</v>
      </c>
    </row>
    <row r="106" spans="4:8" x14ac:dyDescent="0.25">
      <c r="D106">
        <f t="shared" si="5"/>
        <v>103</v>
      </c>
      <c r="E106">
        <f t="shared" si="3"/>
        <v>9.4767437615473895</v>
      </c>
      <c r="H106">
        <f t="shared" si="4"/>
        <v>9.4767437615473895</v>
      </c>
    </row>
    <row r="107" spans="4:8" x14ac:dyDescent="0.25">
      <c r="D107">
        <f t="shared" si="5"/>
        <v>104</v>
      </c>
      <c r="E107">
        <f t="shared" si="3"/>
        <v>9.9674689331882291</v>
      </c>
      <c r="H107">
        <f t="shared" si="4"/>
        <v>9.9674689331882291</v>
      </c>
    </row>
    <row r="108" spans="4:8" x14ac:dyDescent="0.25">
      <c r="D108">
        <f t="shared" si="5"/>
        <v>105</v>
      </c>
      <c r="E108">
        <f t="shared" si="3"/>
        <v>10.471572971197823</v>
      </c>
      <c r="H108">
        <f t="shared" si="4"/>
        <v>10.471572971197823</v>
      </c>
    </row>
    <row r="109" spans="4:8" x14ac:dyDescent="0.25">
      <c r="D109">
        <f t="shared" si="5"/>
        <v>106</v>
      </c>
      <c r="E109">
        <f t="shared" si="3"/>
        <v>10.988923975387316</v>
      </c>
      <c r="H109">
        <f t="shared" si="4"/>
        <v>10.988923975387316</v>
      </c>
    </row>
    <row r="110" spans="4:8" x14ac:dyDescent="0.25">
      <c r="D110">
        <f t="shared" si="5"/>
        <v>107</v>
      </c>
      <c r="E110">
        <f t="shared" si="3"/>
        <v>11.519378178740041</v>
      </c>
      <c r="H110">
        <f t="shared" si="4"/>
        <v>11.519378178740041</v>
      </c>
    </row>
    <row r="111" spans="4:8" x14ac:dyDescent="0.25">
      <c r="D111">
        <f t="shared" si="5"/>
        <v>108</v>
      </c>
      <c r="E111">
        <f t="shared" si="3"/>
        <v>12.062780740317784</v>
      </c>
      <c r="H111">
        <f t="shared" si="4"/>
        <v>12.062780740317784</v>
      </c>
    </row>
    <row r="112" spans="4:8" x14ac:dyDescent="0.25">
      <c r="D112">
        <f t="shared" si="5"/>
        <v>109</v>
      </c>
      <c r="E112">
        <f t="shared" si="3"/>
        <v>12.618966535628076</v>
      </c>
      <c r="H112">
        <f t="shared" si="4"/>
        <v>12.618966535628076</v>
      </c>
    </row>
    <row r="113" spans="4:8" x14ac:dyDescent="0.25">
      <c r="D113">
        <f t="shared" si="5"/>
        <v>110</v>
      </c>
      <c r="E113">
        <f t="shared" si="3"/>
        <v>13.187760940819793</v>
      </c>
      <c r="H113">
        <f t="shared" si="4"/>
        <v>13.187760940819793</v>
      </c>
    </row>
    <row r="114" spans="4:8" x14ac:dyDescent="0.25">
      <c r="D114">
        <f t="shared" si="5"/>
        <v>111</v>
      </c>
      <c r="E114">
        <f t="shared" si="3"/>
        <v>13.768980607402405</v>
      </c>
      <c r="H114">
        <f t="shared" si="4"/>
        <v>13.768980607402405</v>
      </c>
    </row>
    <row r="115" spans="4:8" x14ac:dyDescent="0.25">
      <c r="D115">
        <f t="shared" si="5"/>
        <v>112</v>
      </c>
      <c r="E115">
        <f t="shared" si="3"/>
        <v>14.362434224506394</v>
      </c>
      <c r="H115">
        <f t="shared" si="4"/>
        <v>14.362434224506394</v>
      </c>
    </row>
    <row r="116" spans="4:8" x14ac:dyDescent="0.25">
      <c r="D116">
        <f t="shared" si="5"/>
        <v>113</v>
      </c>
      <c r="E116">
        <f t="shared" si="3"/>
        <v>14.967923266016214</v>
      </c>
      <c r="H116">
        <f t="shared" si="4"/>
        <v>14.967923266016214</v>
      </c>
    </row>
    <row r="117" spans="4:8" x14ac:dyDescent="0.25">
      <c r="D117">
        <f t="shared" si="5"/>
        <v>114</v>
      </c>
      <c r="E117">
        <f t="shared" si="3"/>
        <v>15.585242720210978</v>
      </c>
      <c r="H117">
        <f t="shared" si="4"/>
        <v>15.585242720210978</v>
      </c>
    </row>
    <row r="118" spans="4:8" x14ac:dyDescent="0.25">
      <c r="D118">
        <f t="shared" si="5"/>
        <v>115</v>
      </c>
      <c r="E118">
        <f t="shared" si="3"/>
        <v>16.214181799841228</v>
      </c>
      <c r="H118">
        <f t="shared" si="4"/>
        <v>16.214181799841228</v>
      </c>
    </row>
    <row r="119" spans="4:8" x14ac:dyDescent="0.25">
      <c r="D119">
        <f t="shared" si="5"/>
        <v>116</v>
      </c>
      <c r="E119">
        <f t="shared" si="3"/>
        <v>16.854524630848807</v>
      </c>
      <c r="H119">
        <f t="shared" si="4"/>
        <v>16.854524630848807</v>
      </c>
    </row>
    <row r="120" spans="4:8" x14ac:dyDescent="0.25">
      <c r="D120">
        <f t="shared" si="5"/>
        <v>117</v>
      </c>
      <c r="E120">
        <f t="shared" si="3"/>
        <v>17.50605091820379</v>
      </c>
      <c r="H120">
        <f t="shared" si="4"/>
        <v>17.50605091820379</v>
      </c>
    </row>
    <row r="121" spans="4:8" x14ac:dyDescent="0.25">
      <c r="D121">
        <f t="shared" si="5"/>
        <v>118</v>
      </c>
      <c r="E121">
        <f t="shared" si="3"/>
        <v>18.168536587583105</v>
      </c>
      <c r="H121">
        <f t="shared" si="4"/>
        <v>18.168536587583105</v>
      </c>
    </row>
    <row r="122" spans="4:8" x14ac:dyDescent="0.25">
      <c r="D122">
        <f t="shared" si="5"/>
        <v>119</v>
      </c>
      <c r="E122">
        <f t="shared" si="3"/>
        <v>18.84175440185237</v>
      </c>
      <c r="H122">
        <f t="shared" si="4"/>
        <v>18.84175440185237</v>
      </c>
    </row>
    <row r="123" spans="4:8" x14ac:dyDescent="0.25">
      <c r="D123">
        <f t="shared" si="5"/>
        <v>120</v>
      </c>
      <c r="E123">
        <f t="shared" si="3"/>
        <v>19.525474551533186</v>
      </c>
      <c r="H123">
        <f t="shared" si="4"/>
        <v>19.525474551533186</v>
      </c>
    </row>
    <row r="124" spans="4:8" x14ac:dyDescent="0.25">
      <c r="D124">
        <f t="shared" si="5"/>
        <v>121</v>
      </c>
      <c r="E124">
        <f t="shared" si="3"/>
        <v>20.219465218644189</v>
      </c>
      <c r="H124">
        <f t="shared" si="4"/>
        <v>20.219465218644189</v>
      </c>
    </row>
    <row r="125" spans="4:8" x14ac:dyDescent="0.25">
      <c r="D125">
        <f t="shared" si="5"/>
        <v>122</v>
      </c>
      <c r="E125">
        <f t="shared" si="3"/>
        <v>20.923493113494061</v>
      </c>
      <c r="H125">
        <f t="shared" si="4"/>
        <v>20.923493113494061</v>
      </c>
    </row>
    <row r="126" spans="4:8" x14ac:dyDescent="0.25">
      <c r="D126">
        <f t="shared" si="5"/>
        <v>123</v>
      </c>
      <c r="E126">
        <f t="shared" si="3"/>
        <v>21.637323984179986</v>
      </c>
      <c r="H126">
        <f t="shared" si="4"/>
        <v>21.637323984179986</v>
      </c>
    </row>
    <row r="127" spans="4:8" x14ac:dyDescent="0.25">
      <c r="D127">
        <f t="shared" si="5"/>
        <v>124</v>
      </c>
      <c r="E127">
        <f t="shared" si="3"/>
        <v>22.360723098704966</v>
      </c>
      <c r="H127">
        <f t="shared" si="4"/>
        <v>22.360723098704966</v>
      </c>
    </row>
    <row r="128" spans="4:8" x14ac:dyDescent="0.25">
      <c r="D128">
        <f t="shared" si="5"/>
        <v>125</v>
      </c>
      <c r="E128">
        <f t="shared" si="3"/>
        <v>23.093455699772832</v>
      </c>
      <c r="H128">
        <f t="shared" si="4"/>
        <v>23.093455699772832</v>
      </c>
    </row>
    <row r="129" spans="4:8" x14ac:dyDescent="0.25">
      <c r="D129">
        <f t="shared" si="5"/>
        <v>126</v>
      </c>
      <c r="E129">
        <f t="shared" si="3"/>
        <v>23.835287432451452</v>
      </c>
      <c r="H129">
        <f t="shared" si="4"/>
        <v>23.835287432451452</v>
      </c>
    </row>
    <row r="130" spans="4:8" x14ac:dyDescent="0.25">
      <c r="D130">
        <f t="shared" si="5"/>
        <v>127</v>
      </c>
      <c r="E130">
        <f t="shared" si="3"/>
        <v>24.585984745012254</v>
      </c>
      <c r="H130">
        <f t="shared" si="4"/>
        <v>24.585984745012254</v>
      </c>
    </row>
    <row r="131" spans="4:8" x14ac:dyDescent="0.25">
      <c r="D131">
        <f t="shared" si="5"/>
        <v>128</v>
      </c>
      <c r="E131">
        <f t="shared" si="3"/>
        <v>25.345315263358899</v>
      </c>
      <c r="H131">
        <f t="shared" si="4"/>
        <v>25.345315263358899</v>
      </c>
    </row>
    <row r="132" spans="4:8" x14ac:dyDescent="0.25">
      <c r="D132">
        <f t="shared" si="5"/>
        <v>129</v>
      </c>
      <c r="E132">
        <f t="shared" ref="E132:E195" si="6">BS_Call(D132,$E$2,$B$8,$B$9,$B$10)</f>
        <v>26.113048139550486</v>
      </c>
      <c r="H132">
        <f t="shared" si="4"/>
        <v>26.113048139550486</v>
      </c>
    </row>
    <row r="133" spans="4:8" x14ac:dyDescent="0.25">
      <c r="D133">
        <f t="shared" si="5"/>
        <v>130</v>
      </c>
      <c r="E133">
        <f t="shared" si="6"/>
        <v>26.888954375005952</v>
      </c>
      <c r="H133">
        <f t="shared" ref="H133:H196" si="7">G133+F133+E133</f>
        <v>26.888954375005952</v>
      </c>
    </row>
    <row r="134" spans="4:8" x14ac:dyDescent="0.25">
      <c r="D134">
        <f t="shared" ref="D134:D197" si="8">D133+1</f>
        <v>131</v>
      </c>
      <c r="E134">
        <f t="shared" si="6"/>
        <v>27.672807119044904</v>
      </c>
      <c r="H134">
        <f t="shared" si="7"/>
        <v>27.672807119044904</v>
      </c>
    </row>
    <row r="135" spans="4:8" x14ac:dyDescent="0.25">
      <c r="D135">
        <f t="shared" si="8"/>
        <v>132</v>
      </c>
      <c r="E135">
        <f t="shared" si="6"/>
        <v>28.464381943480561</v>
      </c>
      <c r="H135">
        <f t="shared" si="7"/>
        <v>28.464381943480561</v>
      </c>
    </row>
    <row r="136" spans="4:8" x14ac:dyDescent="0.25">
      <c r="D136">
        <f t="shared" si="8"/>
        <v>133</v>
      </c>
      <c r="E136">
        <f t="shared" si="6"/>
        <v>29.263457094029903</v>
      </c>
      <c r="H136">
        <f t="shared" si="7"/>
        <v>29.263457094029903</v>
      </c>
    </row>
    <row r="137" spans="4:8" x14ac:dyDescent="0.25">
      <c r="D137">
        <f t="shared" si="8"/>
        <v>134</v>
      </c>
      <c r="E137">
        <f t="shared" si="6"/>
        <v>30.069813719346229</v>
      </c>
      <c r="H137">
        <f t="shared" si="7"/>
        <v>30.069813719346229</v>
      </c>
    </row>
    <row r="138" spans="4:8" x14ac:dyDescent="0.25">
      <c r="D138">
        <f t="shared" si="8"/>
        <v>135</v>
      </c>
      <c r="E138">
        <f t="shared" si="6"/>
        <v>30.88323607851305</v>
      </c>
      <c r="H138">
        <f t="shared" si="7"/>
        <v>30.88323607851305</v>
      </c>
    </row>
    <row r="139" spans="4:8" x14ac:dyDescent="0.25">
      <c r="D139">
        <f t="shared" si="8"/>
        <v>136</v>
      </c>
      <c r="E139">
        <f t="shared" si="6"/>
        <v>31.703511727861738</v>
      </c>
      <c r="H139">
        <f t="shared" si="7"/>
        <v>31.703511727861738</v>
      </c>
    </row>
    <row r="140" spans="4:8" x14ac:dyDescent="0.25">
      <c r="D140">
        <f t="shared" si="8"/>
        <v>137</v>
      </c>
      <c r="E140">
        <f t="shared" si="6"/>
        <v>32.530431687993683</v>
      </c>
      <c r="H140">
        <f t="shared" si="7"/>
        <v>32.530431687993683</v>
      </c>
    </row>
    <row r="141" spans="4:8" x14ac:dyDescent="0.25">
      <c r="D141">
        <f t="shared" si="8"/>
        <v>138</v>
      </c>
      <c r="E141">
        <f t="shared" si="6"/>
        <v>33.3637905918998</v>
      </c>
      <c r="H141">
        <f t="shared" si="7"/>
        <v>33.3637905918998</v>
      </c>
    </row>
    <row r="142" spans="4:8" x14ac:dyDescent="0.25">
      <c r="D142">
        <f t="shared" si="8"/>
        <v>139</v>
      </c>
      <c r="E142">
        <f t="shared" si="6"/>
        <v>34.203386815074509</v>
      </c>
      <c r="H142">
        <f t="shared" si="7"/>
        <v>34.203386815074509</v>
      </c>
    </row>
    <row r="143" spans="4:8" x14ac:dyDescent="0.25">
      <c r="D143">
        <f t="shared" si="8"/>
        <v>140</v>
      </c>
      <c r="E143">
        <f t="shared" si="6"/>
        <v>35.049022588522888</v>
      </c>
      <c r="H143">
        <f t="shared" si="7"/>
        <v>35.049022588522888</v>
      </c>
    </row>
    <row r="144" spans="4:8" x14ac:dyDescent="0.25">
      <c r="D144">
        <f t="shared" si="8"/>
        <v>141</v>
      </c>
      <c r="E144">
        <f t="shared" si="6"/>
        <v>35.900504095555192</v>
      </c>
      <c r="H144">
        <f t="shared" si="7"/>
        <v>35.900504095555192</v>
      </c>
    </row>
    <row r="145" spans="4:8" x14ac:dyDescent="0.25">
      <c r="D145">
        <f t="shared" si="8"/>
        <v>142</v>
      </c>
      <c r="E145">
        <f t="shared" si="6"/>
        <v>36.757641553254061</v>
      </c>
      <c r="H145">
        <f t="shared" si="7"/>
        <v>36.757641553254061</v>
      </c>
    </row>
    <row r="146" spans="4:8" x14ac:dyDescent="0.25">
      <c r="D146">
        <f t="shared" si="8"/>
        <v>143</v>
      </c>
      <c r="E146">
        <f t="shared" si="6"/>
        <v>37.620249279488547</v>
      </c>
      <c r="H146">
        <f t="shared" si="7"/>
        <v>37.620249279488547</v>
      </c>
    </row>
    <row r="147" spans="4:8" x14ac:dyDescent="0.25">
      <c r="D147">
        <f t="shared" si="8"/>
        <v>144</v>
      </c>
      <c r="E147">
        <f t="shared" si="6"/>
        <v>38.488145746333046</v>
      </c>
      <c r="H147">
        <f t="shared" si="7"/>
        <v>38.488145746333046</v>
      </c>
    </row>
    <row r="148" spans="4:8" x14ac:dyDescent="0.25">
      <c r="D148">
        <f t="shared" si="8"/>
        <v>145</v>
      </c>
      <c r="E148">
        <f t="shared" si="6"/>
        <v>39.36115362073167</v>
      </c>
      <c r="H148">
        <f t="shared" si="7"/>
        <v>39.36115362073167</v>
      </c>
    </row>
    <row r="149" spans="4:8" x14ac:dyDescent="0.25">
      <c r="D149">
        <f t="shared" si="8"/>
        <v>146</v>
      </c>
      <c r="E149">
        <f t="shared" si="6"/>
        <v>40.239099793228064</v>
      </c>
      <c r="H149">
        <f t="shared" si="7"/>
        <v>40.239099793228064</v>
      </c>
    </row>
    <row r="150" spans="4:8" x14ac:dyDescent="0.25">
      <c r="D150">
        <f t="shared" si="8"/>
        <v>147</v>
      </c>
      <c r="E150">
        <f t="shared" si="6"/>
        <v>41.121815395558045</v>
      </c>
      <c r="H150">
        <f t="shared" si="7"/>
        <v>41.121815395558045</v>
      </c>
    </row>
    <row r="151" spans="4:8" x14ac:dyDescent="0.25">
      <c r="D151">
        <f t="shared" si="8"/>
        <v>148</v>
      </c>
      <c r="E151">
        <f t="shared" si="6"/>
        <v>42.009135807878408</v>
      </c>
      <c r="H151">
        <f t="shared" si="7"/>
        <v>42.009135807878408</v>
      </c>
    </row>
    <row r="152" spans="4:8" x14ac:dyDescent="0.25">
      <c r="D152">
        <f t="shared" si="8"/>
        <v>149</v>
      </c>
      <c r="E152">
        <f t="shared" si="6"/>
        <v>42.90090065638006</v>
      </c>
      <c r="H152">
        <f t="shared" si="7"/>
        <v>42.90090065638006</v>
      </c>
    </row>
    <row r="153" spans="4:8" x14ac:dyDescent="0.25">
      <c r="D153">
        <f t="shared" si="8"/>
        <v>150</v>
      </c>
      <c r="E153">
        <f t="shared" si="6"/>
        <v>43.796953802006115</v>
      </c>
      <c r="H153">
        <f t="shared" si="7"/>
        <v>43.796953802006115</v>
      </c>
    </row>
    <row r="154" spans="4:8" x14ac:dyDescent="0.25">
      <c r="D154">
        <f t="shared" si="8"/>
        <v>151</v>
      </c>
      <c r="E154">
        <f t="shared" si="6"/>
        <v>44.697143320969388</v>
      </c>
      <c r="H154">
        <f t="shared" si="7"/>
        <v>44.697143320969388</v>
      </c>
    </row>
    <row r="155" spans="4:8" x14ac:dyDescent="0.25">
      <c r="D155">
        <f t="shared" si="8"/>
        <v>152</v>
      </c>
      <c r="E155">
        <f t="shared" si="6"/>
        <v>45.601321477734487</v>
      </c>
      <c r="H155">
        <f t="shared" si="7"/>
        <v>45.601321477734487</v>
      </c>
    </row>
    <row r="156" spans="4:8" x14ac:dyDescent="0.25">
      <c r="D156">
        <f t="shared" si="8"/>
        <v>153</v>
      </c>
      <c r="E156">
        <f t="shared" si="6"/>
        <v>46.509344691102513</v>
      </c>
      <c r="H156">
        <f t="shared" si="7"/>
        <v>46.509344691102513</v>
      </c>
    </row>
    <row r="157" spans="4:8" x14ac:dyDescent="0.25">
      <c r="D157">
        <f t="shared" si="8"/>
        <v>154</v>
      </c>
      <c r="E157">
        <f t="shared" si="6"/>
        <v>47.421073494006279</v>
      </c>
      <c r="H157">
        <f t="shared" si="7"/>
        <v>47.421073494006279</v>
      </c>
    </row>
    <row r="158" spans="4:8" x14ac:dyDescent="0.25">
      <c r="D158">
        <f t="shared" si="8"/>
        <v>155</v>
      </c>
      <c r="E158">
        <f t="shared" si="6"/>
        <v>48.33637248759716</v>
      </c>
      <c r="H158">
        <f t="shared" si="7"/>
        <v>48.33637248759716</v>
      </c>
    </row>
    <row r="159" spans="4:8" x14ac:dyDescent="0.25">
      <c r="D159">
        <f t="shared" si="8"/>
        <v>156</v>
      </c>
      <c r="E159">
        <f t="shared" si="6"/>
        <v>49.255110290174144</v>
      </c>
      <c r="H159">
        <f t="shared" si="7"/>
        <v>49.255110290174144</v>
      </c>
    </row>
    <row r="160" spans="4:8" x14ac:dyDescent="0.25">
      <c r="D160">
        <f t="shared" si="8"/>
        <v>157</v>
      </c>
      <c r="E160">
        <f t="shared" si="6"/>
        <v>50.177159481479606</v>
      </c>
      <c r="H160">
        <f t="shared" si="7"/>
        <v>50.177159481479606</v>
      </c>
    </row>
    <row r="161" spans="4:8" x14ac:dyDescent="0.25">
      <c r="D161">
        <f t="shared" si="8"/>
        <v>158</v>
      </c>
      <c r="E161">
        <f t="shared" si="6"/>
        <v>51.102396542856752</v>
      </c>
      <c r="H161">
        <f t="shared" si="7"/>
        <v>51.102396542856752</v>
      </c>
    </row>
    <row r="162" spans="4:8" x14ac:dyDescent="0.25">
      <c r="D162">
        <f t="shared" si="8"/>
        <v>159</v>
      </c>
      <c r="E162">
        <f t="shared" si="6"/>
        <v>52.030701793737052</v>
      </c>
      <c r="H162">
        <f t="shared" si="7"/>
        <v>52.030701793737052</v>
      </c>
    </row>
    <row r="163" spans="4:8" x14ac:dyDescent="0.25">
      <c r="D163">
        <f t="shared" si="8"/>
        <v>160</v>
      </c>
      <c r="E163">
        <f t="shared" si="6"/>
        <v>52.961959324899496</v>
      </c>
      <c r="H163">
        <f t="shared" si="7"/>
        <v>52.961959324899496</v>
      </c>
    </row>
    <row r="164" spans="4:8" x14ac:dyDescent="0.25">
      <c r="D164">
        <f t="shared" si="8"/>
        <v>161</v>
      </c>
      <c r="E164">
        <f t="shared" si="6"/>
        <v>53.896056928916792</v>
      </c>
      <c r="H164">
        <f t="shared" si="7"/>
        <v>53.896056928916792</v>
      </c>
    </row>
    <row r="165" spans="4:8" x14ac:dyDescent="0.25">
      <c r="D165">
        <f t="shared" si="8"/>
        <v>162</v>
      </c>
      <c r="E165">
        <f t="shared" si="6"/>
        <v>54.832886028178493</v>
      </c>
      <c r="H165">
        <f t="shared" si="7"/>
        <v>54.832886028178493</v>
      </c>
    </row>
    <row r="166" spans="4:8" x14ac:dyDescent="0.25">
      <c r="D166">
        <f t="shared" si="8"/>
        <v>163</v>
      </c>
      <c r="E166">
        <f t="shared" si="6"/>
        <v>55.77234160085672</v>
      </c>
      <c r="H166">
        <f t="shared" si="7"/>
        <v>55.77234160085672</v>
      </c>
    </row>
    <row r="167" spans="4:8" x14ac:dyDescent="0.25">
      <c r="D167">
        <f t="shared" si="8"/>
        <v>164</v>
      </c>
      <c r="E167">
        <f t="shared" si="6"/>
        <v>56.714322105155787</v>
      </c>
      <c r="H167">
        <f t="shared" si="7"/>
        <v>56.714322105155787</v>
      </c>
    </row>
    <row r="168" spans="4:8" x14ac:dyDescent="0.25">
      <c r="D168">
        <f t="shared" si="8"/>
        <v>165</v>
      </c>
      <c r="E168">
        <f t="shared" si="6"/>
        <v>57.658729402164056</v>
      </c>
      <c r="H168">
        <f t="shared" si="7"/>
        <v>57.658729402164056</v>
      </c>
    </row>
    <row r="169" spans="4:8" x14ac:dyDescent="0.25">
      <c r="D169">
        <f t="shared" si="8"/>
        <v>166</v>
      </c>
      <c r="E169">
        <f t="shared" si="6"/>
        <v>58.605468677605188</v>
      </c>
      <c r="H169">
        <f t="shared" si="7"/>
        <v>58.605468677605188</v>
      </c>
    </row>
    <row r="170" spans="4:8" x14ac:dyDescent="0.25">
      <c r="D170">
        <f t="shared" si="8"/>
        <v>167</v>
      </c>
      <c r="E170">
        <f t="shared" si="6"/>
        <v>59.554448362762983</v>
      </c>
      <c r="H170">
        <f t="shared" si="7"/>
        <v>59.554448362762983</v>
      </c>
    </row>
    <row r="171" spans="4:8" x14ac:dyDescent="0.25">
      <c r="D171">
        <f t="shared" si="8"/>
        <v>168</v>
      </c>
      <c r="E171">
        <f t="shared" si="6"/>
        <v>60.505580054835519</v>
      </c>
      <c r="H171">
        <f t="shared" si="7"/>
        <v>60.505580054835519</v>
      </c>
    </row>
    <row r="172" spans="4:8" x14ac:dyDescent="0.25">
      <c r="D172">
        <f t="shared" si="8"/>
        <v>169</v>
      </c>
      <c r="E172">
        <f t="shared" si="6"/>
        <v>61.458778436953679</v>
      </c>
      <c r="H172">
        <f t="shared" si="7"/>
        <v>61.458778436953679</v>
      </c>
    </row>
    <row r="173" spans="4:8" x14ac:dyDescent="0.25">
      <c r="D173">
        <f t="shared" si="8"/>
        <v>170</v>
      </c>
      <c r="E173">
        <f t="shared" si="6"/>
        <v>62.413961198080273</v>
      </c>
      <c r="H173">
        <f t="shared" si="7"/>
        <v>62.413961198080273</v>
      </c>
    </row>
    <row r="174" spans="4:8" x14ac:dyDescent="0.25">
      <c r="D174">
        <f t="shared" si="8"/>
        <v>171</v>
      </c>
      <c r="E174">
        <f t="shared" si="6"/>
        <v>63.371048952990094</v>
      </c>
      <c r="H174">
        <f t="shared" si="7"/>
        <v>63.371048952990094</v>
      </c>
    </row>
    <row r="175" spans="4:8" x14ac:dyDescent="0.25">
      <c r="D175">
        <f t="shared" si="8"/>
        <v>172</v>
      </c>
      <c r="E175">
        <f t="shared" si="6"/>
        <v>64.329965162511968</v>
      </c>
      <c r="H175">
        <f t="shared" si="7"/>
        <v>64.329965162511968</v>
      </c>
    </row>
    <row r="176" spans="4:8" x14ac:dyDescent="0.25">
      <c r="D176">
        <f t="shared" si="8"/>
        <v>173</v>
      </c>
      <c r="E176">
        <f t="shared" si="6"/>
        <v>65.29063605420022</v>
      </c>
      <c r="H176">
        <f t="shared" si="7"/>
        <v>65.29063605420022</v>
      </c>
    </row>
    <row r="177" spans="4:8" x14ac:dyDescent="0.25">
      <c r="D177">
        <f t="shared" si="8"/>
        <v>174</v>
      </c>
      <c r="E177">
        <f t="shared" si="6"/>
        <v>66.252990543586137</v>
      </c>
      <c r="H177">
        <f t="shared" si="7"/>
        <v>66.252990543586137</v>
      </c>
    </row>
    <row r="178" spans="4:8" x14ac:dyDescent="0.25">
      <c r="D178">
        <f t="shared" si="8"/>
        <v>175</v>
      </c>
      <c r="E178">
        <f t="shared" si="6"/>
        <v>67.216960156146669</v>
      </c>
      <c r="H178">
        <f t="shared" si="7"/>
        <v>67.216960156146669</v>
      </c>
    </row>
    <row r="179" spans="4:8" x14ac:dyDescent="0.25">
      <c r="D179">
        <f t="shared" si="8"/>
        <v>176</v>
      </c>
      <c r="E179">
        <f t="shared" si="6"/>
        <v>68.182478950114529</v>
      </c>
      <c r="H179">
        <f t="shared" si="7"/>
        <v>68.182478950114529</v>
      </c>
    </row>
    <row r="180" spans="4:8" x14ac:dyDescent="0.25">
      <c r="D180">
        <f t="shared" si="8"/>
        <v>177</v>
      </c>
      <c r="E180">
        <f t="shared" si="6"/>
        <v>69.149483440239479</v>
      </c>
      <c r="H180">
        <f t="shared" si="7"/>
        <v>69.149483440239479</v>
      </c>
    </row>
    <row r="181" spans="4:8" x14ac:dyDescent="0.25">
      <c r="D181">
        <f t="shared" si="8"/>
        <v>178</v>
      </c>
      <c r="E181">
        <f t="shared" si="6"/>
        <v>70.117912522600989</v>
      </c>
      <c r="H181">
        <f t="shared" si="7"/>
        <v>70.117912522600989</v>
      </c>
    </row>
    <row r="182" spans="4:8" x14ac:dyDescent="0.25">
      <c r="D182">
        <f t="shared" si="8"/>
        <v>179</v>
      </c>
      <c r="E182">
        <f t="shared" si="6"/>
        <v>71.087707400559296</v>
      </c>
      <c r="H182">
        <f t="shared" si="7"/>
        <v>71.087707400559296</v>
      </c>
    </row>
    <row r="183" spans="4:8" x14ac:dyDescent="0.25">
      <c r="D183">
        <f t="shared" si="8"/>
        <v>180</v>
      </c>
      <c r="E183">
        <f t="shared" si="6"/>
        <v>72.058811511922698</v>
      </c>
      <c r="H183">
        <f t="shared" si="7"/>
        <v>72.058811511922698</v>
      </c>
    </row>
    <row r="184" spans="4:8" x14ac:dyDescent="0.25">
      <c r="D184">
        <f t="shared" si="8"/>
        <v>181</v>
      </c>
      <c r="E184">
        <f t="shared" si="6"/>
        <v>73.031170457398588</v>
      </c>
      <c r="H184">
        <f t="shared" si="7"/>
        <v>73.031170457398588</v>
      </c>
    </row>
    <row r="185" spans="4:8" x14ac:dyDescent="0.25">
      <c r="D185">
        <f t="shared" si="8"/>
        <v>182</v>
      </c>
      <c r="E185">
        <f t="shared" si="6"/>
        <v>74.004731930386612</v>
      </c>
      <c r="H185">
        <f t="shared" si="7"/>
        <v>74.004731930386612</v>
      </c>
    </row>
    <row r="186" spans="4:8" x14ac:dyDescent="0.25">
      <c r="D186">
        <f t="shared" si="8"/>
        <v>183</v>
      </c>
      <c r="E186">
        <f t="shared" si="6"/>
        <v>74.979445648164003</v>
      </c>
      <c r="H186">
        <f t="shared" si="7"/>
        <v>74.979445648164003</v>
      </c>
    </row>
    <row r="187" spans="4:8" x14ac:dyDescent="0.25">
      <c r="D187">
        <f t="shared" si="8"/>
        <v>184</v>
      </c>
      <c r="E187">
        <f t="shared" si="6"/>
        <v>75.955263284505534</v>
      </c>
      <c r="H187">
        <f t="shared" si="7"/>
        <v>75.955263284505534</v>
      </c>
    </row>
    <row r="188" spans="4:8" x14ac:dyDescent="0.25">
      <c r="D188">
        <f t="shared" si="8"/>
        <v>185</v>
      </c>
      <c r="E188">
        <f t="shared" si="6"/>
        <v>76.932138403772043</v>
      </c>
      <c r="H188">
        <f t="shared" si="7"/>
        <v>76.932138403772043</v>
      </c>
    </row>
    <row r="189" spans="4:8" x14ac:dyDescent="0.25">
      <c r="D189">
        <f t="shared" si="8"/>
        <v>186</v>
      </c>
      <c r="E189">
        <f t="shared" si="6"/>
        <v>77.910026396496548</v>
      </c>
      <c r="H189">
        <f t="shared" si="7"/>
        <v>77.910026396496548</v>
      </c>
    </row>
    <row r="190" spans="4:8" x14ac:dyDescent="0.25">
      <c r="D190">
        <f t="shared" si="8"/>
        <v>187</v>
      </c>
      <c r="E190">
        <f t="shared" si="6"/>
        <v>78.888884416488892</v>
      </c>
      <c r="H190">
        <f t="shared" si="7"/>
        <v>78.888884416488892</v>
      </c>
    </row>
    <row r="191" spans="4:8" x14ac:dyDescent="0.25">
      <c r="D191">
        <f t="shared" si="8"/>
        <v>188</v>
      </c>
      <c r="E191">
        <f t="shared" si="6"/>
        <v>79.868671319475212</v>
      </c>
      <c r="H191">
        <f t="shared" si="7"/>
        <v>79.868671319475212</v>
      </c>
    </row>
    <row r="192" spans="4:8" x14ac:dyDescent="0.25">
      <c r="D192">
        <f t="shared" si="8"/>
        <v>189</v>
      </c>
      <c r="E192">
        <f t="shared" si="6"/>
        <v>80.84934760328305</v>
      </c>
      <c r="H192">
        <f t="shared" si="7"/>
        <v>80.84934760328305</v>
      </c>
    </row>
    <row r="193" spans="4:8" x14ac:dyDescent="0.25">
      <c r="D193">
        <f t="shared" si="8"/>
        <v>190</v>
      </c>
      <c r="E193">
        <f t="shared" si="6"/>
        <v>81.830875349577553</v>
      </c>
      <c r="H193">
        <f t="shared" si="7"/>
        <v>81.830875349577553</v>
      </c>
    </row>
    <row r="194" spans="4:8" x14ac:dyDescent="0.25">
      <c r="D194">
        <f t="shared" si="8"/>
        <v>191</v>
      </c>
      <c r="E194">
        <f t="shared" si="6"/>
        <v>82.813218167150481</v>
      </c>
      <c r="H194">
        <f t="shared" si="7"/>
        <v>82.813218167150481</v>
      </c>
    </row>
    <row r="195" spans="4:8" x14ac:dyDescent="0.25">
      <c r="D195">
        <f t="shared" si="8"/>
        <v>192</v>
      </c>
      <c r="E195">
        <f t="shared" si="6"/>
        <v>83.796341136758983</v>
      </c>
      <c r="H195">
        <f t="shared" si="7"/>
        <v>83.796341136758983</v>
      </c>
    </row>
    <row r="196" spans="4:8" x14ac:dyDescent="0.25">
      <c r="D196">
        <f t="shared" si="8"/>
        <v>193</v>
      </c>
      <c r="E196">
        <f t="shared" ref="E196:E204" si="9">BS_Call(D196,$E$2,$B$8,$B$9,$B$10)</f>
        <v>84.7802107575082</v>
      </c>
      <c r="H196">
        <f t="shared" si="7"/>
        <v>84.7802107575082</v>
      </c>
    </row>
    <row r="197" spans="4:8" x14ac:dyDescent="0.25">
      <c r="D197">
        <f t="shared" si="8"/>
        <v>194</v>
      </c>
      <c r="E197">
        <f t="shared" si="9"/>
        <v>85.764794894767519</v>
      </c>
      <c r="H197">
        <f t="shared" ref="H197:H204" si="10">G197+F197+E197</f>
        <v>85.764794894767519</v>
      </c>
    </row>
    <row r="198" spans="4:8" x14ac:dyDescent="0.25">
      <c r="D198">
        <f t="shared" ref="D198:D204" si="11">D197+1</f>
        <v>195</v>
      </c>
      <c r="E198">
        <f t="shared" si="9"/>
        <v>86.750062729608302</v>
      </c>
      <c r="H198">
        <f t="shared" si="10"/>
        <v>86.750062729608302</v>
      </c>
    </row>
    <row r="199" spans="4:8" x14ac:dyDescent="0.25">
      <c r="D199">
        <f t="shared" si="11"/>
        <v>196</v>
      </c>
      <c r="E199">
        <f t="shared" si="9"/>
        <v>87.735984709747044</v>
      </c>
      <c r="H199">
        <f t="shared" si="10"/>
        <v>87.735984709747044</v>
      </c>
    </row>
    <row r="200" spans="4:8" x14ac:dyDescent="0.25">
      <c r="D200">
        <f t="shared" si="11"/>
        <v>197</v>
      </c>
      <c r="E200">
        <f t="shared" si="9"/>
        <v>88.722532501976701</v>
      </c>
      <c r="H200">
        <f t="shared" si="10"/>
        <v>88.722532501976701</v>
      </c>
    </row>
    <row r="201" spans="4:8" x14ac:dyDescent="0.25">
      <c r="D201">
        <f t="shared" si="11"/>
        <v>198</v>
      </c>
      <c r="E201">
        <f t="shared" si="9"/>
        <v>89.709678946065978</v>
      </c>
      <c r="H201">
        <f t="shared" si="10"/>
        <v>89.709678946065978</v>
      </c>
    </row>
    <row r="202" spans="4:8" x14ac:dyDescent="0.25">
      <c r="D202">
        <f t="shared" si="11"/>
        <v>199</v>
      </c>
      <c r="E202">
        <f t="shared" si="9"/>
        <v>90.697398010104578</v>
      </c>
      <c r="H202">
        <f t="shared" si="10"/>
        <v>90.697398010104578</v>
      </c>
    </row>
    <row r="203" spans="4:8" x14ac:dyDescent="0.25">
      <c r="D203">
        <f t="shared" si="11"/>
        <v>200</v>
      </c>
      <c r="E203">
        <f t="shared" si="9"/>
        <v>91.68566474727119</v>
      </c>
      <c r="H203">
        <f t="shared" si="10"/>
        <v>91.68566474727119</v>
      </c>
    </row>
    <row r="204" spans="4:8" x14ac:dyDescent="0.25">
      <c r="D204">
        <f t="shared" si="11"/>
        <v>201</v>
      </c>
      <c r="E204">
        <f t="shared" si="9"/>
        <v>92.674455253998687</v>
      </c>
      <c r="H204">
        <f t="shared" si="10"/>
        <v>92.674455253998687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C1CA8-BC7E-4B14-A050-5FB5EA909032}">
  <sheetPr codeName="Sheet2"/>
  <dimension ref="A2:O23"/>
  <sheetViews>
    <sheetView tabSelected="1" workbookViewId="0">
      <selection activeCell="E5" sqref="E5"/>
    </sheetView>
  </sheetViews>
  <sheetFormatPr defaultRowHeight="15" x14ac:dyDescent="0.25"/>
  <cols>
    <col min="1" max="1" width="15.42578125" bestFit="1" customWidth="1"/>
    <col min="2" max="2" width="12.7109375" bestFit="1" customWidth="1"/>
    <col min="6" max="6" width="10.85546875" bestFit="1" customWidth="1"/>
  </cols>
  <sheetData>
    <row r="2" spans="1:15" x14ac:dyDescent="0.25">
      <c r="J2">
        <f>BS_Call_Delta(E5,$C$5,$C$6,$C$7,$C$9)</f>
        <v>0.67640235246127778</v>
      </c>
      <c r="K2">
        <f>BS_Call_Delta(F5,$C$5,$C$6,$C$7,$C$9)</f>
        <v>0.80347914584679359</v>
      </c>
      <c r="L2" t="s">
        <v>34</v>
      </c>
    </row>
    <row r="4" spans="1:15" x14ac:dyDescent="0.25">
      <c r="E4" s="22" t="s">
        <v>24</v>
      </c>
      <c r="F4" s="22" t="s">
        <v>25</v>
      </c>
      <c r="G4" t="s">
        <v>29</v>
      </c>
      <c r="J4" s="24" t="s">
        <v>30</v>
      </c>
      <c r="K4" s="24" t="s">
        <v>31</v>
      </c>
    </row>
    <row r="5" spans="1:15" x14ac:dyDescent="0.25">
      <c r="B5" t="s">
        <v>1</v>
      </c>
      <c r="C5">
        <v>25</v>
      </c>
      <c r="D5" s="20"/>
      <c r="E5">
        <v>27</v>
      </c>
      <c r="F5">
        <v>30.25</v>
      </c>
      <c r="H5">
        <f>F5/E5</f>
        <v>1.1203703703703705</v>
      </c>
      <c r="J5" s="23">
        <f>BS_Call(E5,$C$5,$C$6,$C$7,$C$9)/$C$10</f>
        <v>1.0628558673776634</v>
      </c>
      <c r="K5" s="25">
        <f>BS_Call(F5,$C$5,$C$6,$C$7,$C$9)/$C$10</f>
        <v>1.6672595838038271</v>
      </c>
      <c r="L5" t="s">
        <v>42</v>
      </c>
      <c r="N5" s="26">
        <f>K5/J5</f>
        <v>1.5686600930353634</v>
      </c>
      <c r="O5" t="s">
        <v>41</v>
      </c>
    </row>
    <row r="6" spans="1:15" x14ac:dyDescent="0.25">
      <c r="B6" t="s">
        <v>2</v>
      </c>
      <c r="C6" s="20">
        <v>0.5</v>
      </c>
      <c r="D6" s="20"/>
      <c r="E6">
        <v>24.9</v>
      </c>
      <c r="F6">
        <v>25.5</v>
      </c>
      <c r="J6" s="23">
        <f t="shared" ref="J6:K9" si="0">BS_Call(E6,$C$5,$C$6,$C$7,$C$9)/$C$10</f>
        <v>0.73499713498219776</v>
      </c>
      <c r="K6" s="23">
        <f t="shared" si="0"/>
        <v>0.82287361763623501</v>
      </c>
    </row>
    <row r="7" spans="1:15" x14ac:dyDescent="0.25">
      <c r="B7" t="s">
        <v>26</v>
      </c>
      <c r="C7" s="20">
        <v>0.04</v>
      </c>
      <c r="E7">
        <v>24.8</v>
      </c>
      <c r="F7">
        <v>25.75</v>
      </c>
      <c r="J7" s="23">
        <f t="shared" si="0"/>
        <v>0.72082725375024559</v>
      </c>
      <c r="K7" s="23">
        <f t="shared" si="0"/>
        <v>0.86090263603938633</v>
      </c>
    </row>
    <row r="8" spans="1:15" x14ac:dyDescent="0.25">
      <c r="B8" t="s">
        <v>4</v>
      </c>
      <c r="C8">
        <v>120</v>
      </c>
      <c r="E8">
        <v>24.7</v>
      </c>
      <c r="F8">
        <v>26</v>
      </c>
      <c r="J8" s="23">
        <f t="shared" si="0"/>
        <v>0.70679583648748334</v>
      </c>
      <c r="K8" s="23">
        <f t="shared" si="0"/>
        <v>0.89974068064104529</v>
      </c>
    </row>
    <row r="9" spans="1:15" x14ac:dyDescent="0.25">
      <c r="B9" t="s">
        <v>27</v>
      </c>
      <c r="C9">
        <f>C8/365</f>
        <v>0.32876712328767121</v>
      </c>
      <c r="E9">
        <v>24.6</v>
      </c>
      <c r="F9">
        <v>26.25</v>
      </c>
      <c r="J9" s="23">
        <f t="shared" si="0"/>
        <v>0.69290374608703997</v>
      </c>
      <c r="K9" s="23">
        <f t="shared" si="0"/>
        <v>0.93937167152761925</v>
      </c>
    </row>
    <row r="10" spans="1:15" x14ac:dyDescent="0.25">
      <c r="A10" t="s">
        <v>32</v>
      </c>
      <c r="B10" s="21" t="s">
        <v>28</v>
      </c>
      <c r="C10" s="21">
        <v>4</v>
      </c>
      <c r="D10" t="s">
        <v>33</v>
      </c>
    </row>
    <row r="12" spans="1:15" x14ac:dyDescent="0.25">
      <c r="B12" s="1" t="s">
        <v>35</v>
      </c>
    </row>
    <row r="13" spans="1:15" x14ac:dyDescent="0.25">
      <c r="B13" t="s">
        <v>37</v>
      </c>
    </row>
    <row r="14" spans="1:15" x14ac:dyDescent="0.25">
      <c r="B14" s="1" t="s">
        <v>36</v>
      </c>
    </row>
    <row r="15" spans="1:15" x14ac:dyDescent="0.25">
      <c r="B15" s="1" t="s">
        <v>38</v>
      </c>
    </row>
    <row r="17" spans="2:11" x14ac:dyDescent="0.25">
      <c r="E17" s="22" t="s">
        <v>24</v>
      </c>
      <c r="F17" s="22" t="s">
        <v>25</v>
      </c>
      <c r="G17" t="s">
        <v>39</v>
      </c>
      <c r="J17" s="24" t="s">
        <v>30</v>
      </c>
      <c r="K17" s="24" t="s">
        <v>31</v>
      </c>
    </row>
    <row r="18" spans="2:11" x14ac:dyDescent="0.25">
      <c r="B18" t="s">
        <v>1</v>
      </c>
      <c r="C18">
        <v>25</v>
      </c>
      <c r="D18" s="20"/>
      <c r="E18">
        <v>25.5</v>
      </c>
      <c r="F18">
        <v>25.75</v>
      </c>
      <c r="G18" t="s">
        <v>40</v>
      </c>
      <c r="J18" s="23">
        <f>BS_Call(E18,$C$5,$C$6,$C$7,$C$9)/$C$10</f>
        <v>0.82287361763623501</v>
      </c>
      <c r="K18" s="25">
        <f>BS_Call(F18,$C$5,$C$6,$C$7,$C$9)/$C$10</f>
        <v>0.86090263603938633</v>
      </c>
    </row>
    <row r="19" spans="2:11" x14ac:dyDescent="0.25">
      <c r="B19" t="s">
        <v>2</v>
      </c>
      <c r="C19" s="20">
        <v>0.8</v>
      </c>
      <c r="D19" s="20"/>
      <c r="J19" s="23"/>
      <c r="K19" s="23"/>
    </row>
    <row r="20" spans="2:11" x14ac:dyDescent="0.25">
      <c r="B20" t="s">
        <v>26</v>
      </c>
      <c r="C20" s="20">
        <v>0.04</v>
      </c>
      <c r="J20" s="23"/>
      <c r="K20" s="23"/>
    </row>
    <row r="21" spans="2:11" x14ac:dyDescent="0.25">
      <c r="B21" t="s">
        <v>4</v>
      </c>
      <c r="C21">
        <v>120</v>
      </c>
      <c r="J21" s="23"/>
      <c r="K21" s="23"/>
    </row>
    <row r="22" spans="2:11" x14ac:dyDescent="0.25">
      <c r="B22" t="s">
        <v>27</v>
      </c>
      <c r="C22">
        <f>C21/365</f>
        <v>0.32876712328767121</v>
      </c>
      <c r="J22" s="23"/>
      <c r="K22" s="23"/>
    </row>
    <row r="23" spans="2:11" x14ac:dyDescent="0.25">
      <c r="B23" s="21" t="s">
        <v>28</v>
      </c>
      <c r="C23" s="21">
        <v>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Room 416</dc:creator>
  <cp:lastModifiedBy>Suparat Patarasupanit</cp:lastModifiedBy>
  <dcterms:created xsi:type="dcterms:W3CDTF">2024-02-13T11:00:30Z</dcterms:created>
  <dcterms:modified xsi:type="dcterms:W3CDTF">2024-03-08T12:45:34Z</dcterms:modified>
</cp:coreProperties>
</file>