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O:\AJ Viravate\"/>
    </mc:Choice>
  </mc:AlternateContent>
  <xr:revisionPtr revIDLastSave="0" documentId="13_ncr:1_{58F90C12-A059-40BE-8829-F0C50E6FAFCB}" xr6:coauthVersionLast="36" xr6:coauthVersionMax="36" xr10:uidLastSave="{00000000-0000-0000-0000-000000000000}"/>
  <bookViews>
    <workbookView xWindow="0" yWindow="0" windowWidth="22215" windowHeight="919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/>
  <c r="B13" i="1" s="1"/>
  <c r="B16" i="1" s="1"/>
  <c r="B17" i="1" s="1"/>
  <c r="J10" i="1"/>
  <c r="J13" i="1" s="1"/>
  <c r="D5" i="1"/>
  <c r="D6" i="1" s="1"/>
  <c r="B1" i="1"/>
  <c r="B4" i="1"/>
  <c r="J4" i="1"/>
  <c r="D7" i="1" l="1"/>
  <c r="J16" i="1"/>
  <c r="J17" i="1" s="1"/>
  <c r="J14" i="1"/>
  <c r="B14" i="1"/>
  <c r="B2" i="1" s="1"/>
  <c r="F6" i="1"/>
  <c r="F131" i="1"/>
  <c r="F107" i="1"/>
  <c r="F83" i="1"/>
  <c r="F59" i="1"/>
  <c r="F35" i="1"/>
  <c r="F11" i="1"/>
  <c r="F190" i="1"/>
  <c r="F178" i="1"/>
  <c r="F148" i="1"/>
  <c r="F124" i="1"/>
  <c r="F100" i="1"/>
  <c r="F76" i="1"/>
  <c r="F52" i="1"/>
  <c r="F16" i="1"/>
  <c r="F99" i="1"/>
  <c r="F69" i="1"/>
  <c r="F9" i="1"/>
  <c r="F158" i="1"/>
  <c r="F98" i="1"/>
  <c r="F32" i="1"/>
  <c r="F22" i="1"/>
  <c r="F57" i="1"/>
  <c r="F188" i="1"/>
  <c r="F110" i="1"/>
  <c r="F44" i="1"/>
  <c r="F160" i="1"/>
  <c r="F117" i="1"/>
  <c r="F200" i="1"/>
  <c r="F152" i="1"/>
  <c r="F92" i="1"/>
  <c r="F38" i="1"/>
  <c r="F195" i="1"/>
  <c r="F183" i="1"/>
  <c r="F171" i="1"/>
  <c r="F159" i="1"/>
  <c r="F147" i="1"/>
  <c r="F123" i="1"/>
  <c r="F93" i="1"/>
  <c r="F63" i="1"/>
  <c r="F15" i="1"/>
  <c r="F134" i="1"/>
  <c r="F80" i="1"/>
  <c r="F20" i="1"/>
  <c r="F199" i="1"/>
  <c r="F187" i="1"/>
  <c r="F175" i="1"/>
  <c r="F163" i="1"/>
  <c r="F151" i="1"/>
  <c r="F139" i="1"/>
  <c r="F127" i="1"/>
  <c r="F115" i="1"/>
  <c r="F103" i="1"/>
  <c r="F91" i="1"/>
  <c r="F79" i="1"/>
  <c r="F67" i="1"/>
  <c r="F55" i="1"/>
  <c r="F43" i="1"/>
  <c r="F31" i="1"/>
  <c r="F19" i="1"/>
  <c r="F7" i="1"/>
  <c r="F198" i="1"/>
  <c r="F186" i="1"/>
  <c r="F174" i="1"/>
  <c r="F162" i="1"/>
  <c r="F150" i="1"/>
  <c r="F138" i="1"/>
  <c r="F126" i="1"/>
  <c r="F114" i="1"/>
  <c r="F102" i="1"/>
  <c r="F90" i="1"/>
  <c r="F78" i="1"/>
  <c r="F66" i="1"/>
  <c r="F54" i="1"/>
  <c r="F42" i="1"/>
  <c r="F30" i="1"/>
  <c r="F18" i="1"/>
  <c r="F203" i="1"/>
  <c r="F191" i="1"/>
  <c r="F179" i="1"/>
  <c r="F167" i="1"/>
  <c r="F155" i="1"/>
  <c r="F137" i="1"/>
  <c r="F113" i="1"/>
  <c r="F89" i="1"/>
  <c r="F65" i="1"/>
  <c r="F41" i="1"/>
  <c r="F17" i="1"/>
  <c r="F196" i="1"/>
  <c r="F142" i="1"/>
  <c r="F118" i="1"/>
  <c r="F94" i="1"/>
  <c r="F70" i="1"/>
  <c r="F40" i="1"/>
  <c r="F10" i="1"/>
  <c r="F75" i="1"/>
  <c r="F21" i="1"/>
  <c r="F164" i="1"/>
  <c r="F116" i="1"/>
  <c r="F56" i="1"/>
  <c r="F4" i="1"/>
  <c r="E132" i="1"/>
  <c r="E96" i="1"/>
  <c r="E66" i="1"/>
  <c r="E42" i="1"/>
  <c r="E12" i="1"/>
  <c r="E185" i="1"/>
  <c r="E155" i="1"/>
  <c r="E125" i="1"/>
  <c r="E95" i="1"/>
  <c r="E59" i="1"/>
  <c r="E23" i="1"/>
  <c r="E92" i="1"/>
  <c r="E14" i="1"/>
  <c r="E143" i="1"/>
  <c r="E83" i="1"/>
  <c r="E47" i="1"/>
  <c r="E5" i="1"/>
  <c r="E32" i="1"/>
  <c r="E196" i="1"/>
  <c r="E184" i="1"/>
  <c r="E172" i="1"/>
  <c r="E160" i="1"/>
  <c r="E148" i="1"/>
  <c r="E136" i="1"/>
  <c r="E124" i="1"/>
  <c r="E112" i="1"/>
  <c r="F119" i="1"/>
  <c r="F71" i="1"/>
  <c r="F23" i="1"/>
  <c r="F184" i="1"/>
  <c r="F136" i="1"/>
  <c r="F88" i="1"/>
  <c r="F34" i="1"/>
  <c r="F81" i="1"/>
  <c r="F176" i="1"/>
  <c r="F62" i="1"/>
  <c r="F105" i="1"/>
  <c r="F146" i="1"/>
  <c r="F14" i="1"/>
  <c r="F45" i="1"/>
  <c r="F122" i="1"/>
  <c r="F201" i="1"/>
  <c r="F177" i="1"/>
  <c r="F153" i="1"/>
  <c r="F111" i="1"/>
  <c r="F33" i="1"/>
  <c r="F104" i="1"/>
  <c r="F8" i="1"/>
  <c r="F181" i="1"/>
  <c r="F157" i="1"/>
  <c r="F133" i="1"/>
  <c r="F109" i="1"/>
  <c r="F85" i="1"/>
  <c r="F61" i="1"/>
  <c r="F37" i="1"/>
  <c r="F13" i="1"/>
  <c r="F192" i="1"/>
  <c r="F168" i="1"/>
  <c r="F144" i="1"/>
  <c r="F120" i="1"/>
  <c r="F96" i="1"/>
  <c r="F72" i="1"/>
  <c r="F48" i="1"/>
  <c r="F24" i="1"/>
  <c r="F197" i="1"/>
  <c r="F173" i="1"/>
  <c r="F143" i="1"/>
  <c r="F101" i="1"/>
  <c r="F53" i="1"/>
  <c r="F5" i="1"/>
  <c r="F130" i="1"/>
  <c r="F82" i="1"/>
  <c r="F28" i="1"/>
  <c r="F51" i="1"/>
  <c r="F140" i="1"/>
  <c r="F26" i="1"/>
  <c r="E114" i="1"/>
  <c r="E54" i="1"/>
  <c r="E197" i="1"/>
  <c r="E137" i="1"/>
  <c r="E77" i="1"/>
  <c r="E11" i="1"/>
  <c r="E191" i="1"/>
  <c r="E65" i="1"/>
  <c r="E74" i="1"/>
  <c r="E190" i="1"/>
  <c r="E166" i="1"/>
  <c r="E142" i="1"/>
  <c r="E118" i="1"/>
  <c r="E100" i="1"/>
  <c r="E88" i="1"/>
  <c r="E76" i="1"/>
  <c r="E64" i="1"/>
  <c r="E52" i="1"/>
  <c r="E40" i="1"/>
  <c r="E28" i="1"/>
  <c r="E16" i="1"/>
  <c r="E201" i="1"/>
  <c r="E189" i="1"/>
  <c r="E177" i="1"/>
  <c r="E165" i="1"/>
  <c r="E153" i="1"/>
  <c r="E141" i="1"/>
  <c r="E129" i="1"/>
  <c r="E117" i="1"/>
  <c r="E105" i="1"/>
  <c r="E93" i="1"/>
  <c r="E81" i="1"/>
  <c r="E69" i="1"/>
  <c r="E57" i="1"/>
  <c r="E45" i="1"/>
  <c r="E33" i="1"/>
  <c r="E21" i="1"/>
  <c r="E9" i="1"/>
  <c r="E194" i="1"/>
  <c r="E182" i="1"/>
  <c r="E170" i="1"/>
  <c r="E158" i="1"/>
  <c r="E146" i="1"/>
  <c r="E134" i="1"/>
  <c r="E122" i="1"/>
  <c r="E110" i="1"/>
  <c r="E98" i="1"/>
  <c r="E68" i="1"/>
  <c r="E56" i="1"/>
  <c r="E26" i="1"/>
  <c r="E199" i="1"/>
  <c r="E187" i="1"/>
  <c r="E175" i="1"/>
  <c r="E163" i="1"/>
  <c r="E151" i="1"/>
  <c r="E139" i="1"/>
  <c r="E127" i="1"/>
  <c r="E115" i="1"/>
  <c r="E103" i="1"/>
  <c r="E91" i="1"/>
  <c r="E79" i="1"/>
  <c r="E67" i="1"/>
  <c r="E55" i="1"/>
  <c r="E43" i="1"/>
  <c r="E31" i="1"/>
  <c r="E19" i="1"/>
  <c r="E7" i="1"/>
  <c r="E198" i="1"/>
  <c r="E186" i="1"/>
  <c r="E174" i="1"/>
  <c r="E156" i="1"/>
  <c r="E144" i="1"/>
  <c r="E126" i="1"/>
  <c r="E108" i="1"/>
  <c r="E90" i="1"/>
  <c r="E72" i="1"/>
  <c r="E48" i="1"/>
  <c r="E24" i="1"/>
  <c r="E6" i="1"/>
  <c r="E179" i="1"/>
  <c r="E161" i="1"/>
  <c r="E131" i="1"/>
  <c r="E101" i="1"/>
  <c r="E71" i="1"/>
  <c r="E35" i="1"/>
  <c r="E86" i="1"/>
  <c r="E20" i="1"/>
  <c r="F149" i="1"/>
  <c r="F95" i="1"/>
  <c r="F47" i="1"/>
  <c r="F202" i="1"/>
  <c r="F172" i="1"/>
  <c r="F112" i="1"/>
  <c r="F64" i="1"/>
  <c r="F129" i="1"/>
  <c r="F39" i="1"/>
  <c r="F128" i="1"/>
  <c r="F154" i="1"/>
  <c r="F27" i="1"/>
  <c r="F74" i="1"/>
  <c r="F46" i="1"/>
  <c r="F170" i="1"/>
  <c r="F68" i="1"/>
  <c r="F189" i="1"/>
  <c r="F165" i="1"/>
  <c r="F141" i="1"/>
  <c r="F87" i="1"/>
  <c r="F182" i="1"/>
  <c r="F50" i="1"/>
  <c r="F193" i="1"/>
  <c r="F169" i="1"/>
  <c r="F145" i="1"/>
  <c r="F121" i="1"/>
  <c r="F97" i="1"/>
  <c r="F73" i="1"/>
  <c r="F49" i="1"/>
  <c r="F25" i="1"/>
  <c r="F204" i="1"/>
  <c r="F180" i="1"/>
  <c r="F156" i="1"/>
  <c r="F132" i="1"/>
  <c r="F108" i="1"/>
  <c r="F84" i="1"/>
  <c r="F60" i="1"/>
  <c r="F36" i="1"/>
  <c r="F12" i="1"/>
  <c r="F185" i="1"/>
  <c r="F161" i="1"/>
  <c r="F125" i="1"/>
  <c r="F77" i="1"/>
  <c r="F29" i="1"/>
  <c r="F166" i="1"/>
  <c r="F106" i="1"/>
  <c r="F58" i="1"/>
  <c r="F135" i="1"/>
  <c r="F194" i="1"/>
  <c r="F86" i="1"/>
  <c r="E168" i="1"/>
  <c r="E84" i="1"/>
  <c r="E30" i="1"/>
  <c r="E167" i="1"/>
  <c r="E107" i="1"/>
  <c r="E41" i="1"/>
  <c r="E44" i="1"/>
  <c r="E113" i="1"/>
  <c r="E29" i="1"/>
  <c r="E202" i="1"/>
  <c r="E178" i="1"/>
  <c r="E154" i="1"/>
  <c r="E130" i="1"/>
  <c r="E106" i="1"/>
  <c r="E94" i="1"/>
  <c r="E82" i="1"/>
  <c r="E70" i="1"/>
  <c r="E58" i="1"/>
  <c r="E46" i="1"/>
  <c r="E34" i="1"/>
  <c r="E22" i="1"/>
  <c r="E10" i="1"/>
  <c r="E195" i="1"/>
  <c r="E183" i="1"/>
  <c r="E171" i="1"/>
  <c r="E159" i="1"/>
  <c r="E147" i="1"/>
  <c r="E135" i="1"/>
  <c r="E123" i="1"/>
  <c r="E111" i="1"/>
  <c r="E99" i="1"/>
  <c r="E87" i="1"/>
  <c r="E75" i="1"/>
  <c r="E63" i="1"/>
  <c r="E51" i="1"/>
  <c r="E39" i="1"/>
  <c r="E27" i="1"/>
  <c r="E15" i="1"/>
  <c r="E200" i="1"/>
  <c r="E188" i="1"/>
  <c r="E176" i="1"/>
  <c r="E164" i="1"/>
  <c r="E152" i="1"/>
  <c r="E140" i="1"/>
  <c r="E128" i="1"/>
  <c r="E116" i="1"/>
  <c r="E104" i="1"/>
  <c r="E80" i="1"/>
  <c r="E62" i="1"/>
  <c r="E38" i="1"/>
  <c r="E8" i="1"/>
  <c r="E193" i="1"/>
  <c r="E181" i="1"/>
  <c r="E169" i="1"/>
  <c r="E157" i="1"/>
  <c r="E145" i="1"/>
  <c r="E133" i="1"/>
  <c r="E121" i="1"/>
  <c r="E109" i="1"/>
  <c r="E97" i="1"/>
  <c r="E85" i="1"/>
  <c r="E73" i="1"/>
  <c r="E61" i="1"/>
  <c r="E49" i="1"/>
  <c r="E37" i="1"/>
  <c r="E25" i="1"/>
  <c r="E13" i="1"/>
  <c r="E204" i="1"/>
  <c r="E192" i="1"/>
  <c r="E162" i="1"/>
  <c r="E138" i="1"/>
  <c r="E102" i="1"/>
  <c r="E60" i="1"/>
  <c r="E18" i="1"/>
  <c r="E173" i="1"/>
  <c r="E119" i="1"/>
  <c r="E53" i="1"/>
  <c r="E50" i="1"/>
  <c r="E180" i="1"/>
  <c r="E150" i="1"/>
  <c r="E120" i="1"/>
  <c r="E78" i="1"/>
  <c r="E36" i="1"/>
  <c r="E203" i="1"/>
  <c r="E149" i="1"/>
  <c r="E89" i="1"/>
  <c r="E17" i="1"/>
  <c r="E4" i="1"/>
  <c r="H12" i="1" l="1"/>
  <c r="H5" i="1"/>
  <c r="H8" i="1"/>
  <c r="H4" i="1"/>
  <c r="H10" i="1"/>
  <c r="H7" i="1"/>
  <c r="H9" i="1"/>
  <c r="H11" i="1"/>
  <c r="H6" i="1"/>
  <c r="H18" i="1"/>
  <c r="H14" i="1"/>
  <c r="H13" i="1"/>
  <c r="H16" i="1"/>
  <c r="D8" i="1"/>
  <c r="H20" i="1" l="1"/>
  <c r="H15" i="1"/>
  <c r="D9" i="1"/>
  <c r="H17" i="1" l="1"/>
  <c r="H22" i="1"/>
  <c r="D10" i="1"/>
  <c r="H19" i="1" l="1"/>
  <c r="H24" i="1"/>
  <c r="D11" i="1"/>
  <c r="H21" i="1" l="1"/>
  <c r="H26" i="1"/>
  <c r="D12" i="1"/>
  <c r="H23" i="1" l="1"/>
  <c r="H28" i="1"/>
  <c r="D13" i="1"/>
  <c r="H25" i="1" l="1"/>
  <c r="H30" i="1"/>
  <c r="D14" i="1"/>
  <c r="H27" i="1" l="1"/>
  <c r="H32" i="1"/>
  <c r="D15" i="1"/>
  <c r="H29" i="1" l="1"/>
  <c r="H34" i="1"/>
  <c r="D16" i="1"/>
  <c r="H36" i="1" l="1"/>
  <c r="H31" i="1"/>
  <c r="D17" i="1"/>
  <c r="H33" i="1" l="1"/>
  <c r="H38" i="1"/>
  <c r="D18" i="1"/>
  <c r="H40" i="1" l="1"/>
  <c r="H35" i="1"/>
  <c r="D19" i="1"/>
  <c r="H37" i="1" l="1"/>
  <c r="H42" i="1"/>
  <c r="D20" i="1"/>
  <c r="H44" i="1" l="1"/>
  <c r="H39" i="1"/>
  <c r="D21" i="1"/>
  <c r="H41" i="1" l="1"/>
  <c r="H46" i="1"/>
  <c r="D22" i="1"/>
  <c r="H48" i="1" l="1"/>
  <c r="H43" i="1"/>
  <c r="D23" i="1"/>
  <c r="H45" i="1" l="1"/>
  <c r="H50" i="1"/>
  <c r="D24" i="1"/>
  <c r="H52" i="1" l="1"/>
  <c r="H47" i="1"/>
  <c r="D25" i="1"/>
  <c r="H49" i="1" l="1"/>
  <c r="H54" i="1"/>
  <c r="D26" i="1"/>
  <c r="H56" i="1" l="1"/>
  <c r="H51" i="1"/>
  <c r="D27" i="1"/>
  <c r="H53" i="1" l="1"/>
  <c r="H58" i="1"/>
  <c r="D28" i="1"/>
  <c r="H60" i="1" l="1"/>
  <c r="H55" i="1"/>
  <c r="D29" i="1"/>
  <c r="H57" i="1" l="1"/>
  <c r="H62" i="1"/>
  <c r="D30" i="1"/>
  <c r="H64" i="1" l="1"/>
  <c r="H59" i="1"/>
  <c r="D31" i="1"/>
  <c r="H61" i="1" l="1"/>
  <c r="H66" i="1"/>
  <c r="D32" i="1"/>
  <c r="H68" i="1" l="1"/>
  <c r="H63" i="1"/>
  <c r="D33" i="1"/>
  <c r="H65" i="1" l="1"/>
  <c r="H70" i="1"/>
  <c r="D34" i="1"/>
  <c r="H72" i="1" l="1"/>
  <c r="H67" i="1"/>
  <c r="D35" i="1"/>
  <c r="H69" i="1" l="1"/>
  <c r="H74" i="1"/>
  <c r="D36" i="1"/>
  <c r="H76" i="1" l="1"/>
  <c r="H71" i="1"/>
  <c r="D37" i="1"/>
  <c r="H73" i="1" l="1"/>
  <c r="H78" i="1"/>
  <c r="D38" i="1"/>
  <c r="H80" i="1" l="1"/>
  <c r="H75" i="1"/>
  <c r="D39" i="1"/>
  <c r="H77" i="1" l="1"/>
  <c r="H82" i="1"/>
  <c r="D40" i="1"/>
  <c r="H84" i="1" l="1"/>
  <c r="H79" i="1"/>
  <c r="D41" i="1"/>
  <c r="H81" i="1" l="1"/>
  <c r="H86" i="1"/>
  <c r="D42" i="1"/>
  <c r="H88" i="1" l="1"/>
  <c r="H83" i="1"/>
  <c r="D43" i="1"/>
  <c r="H85" i="1" l="1"/>
  <c r="H90" i="1"/>
  <c r="D44" i="1"/>
  <c r="H92" i="1" l="1"/>
  <c r="H87" i="1"/>
  <c r="D45" i="1"/>
  <c r="H89" i="1" l="1"/>
  <c r="H94" i="1"/>
  <c r="D46" i="1"/>
  <c r="H96" i="1" l="1"/>
  <c r="H91" i="1"/>
  <c r="D47" i="1"/>
  <c r="H93" i="1" l="1"/>
  <c r="H98" i="1"/>
  <c r="D48" i="1"/>
  <c r="H100" i="1" l="1"/>
  <c r="H95" i="1"/>
  <c r="D49" i="1"/>
  <c r="H97" i="1" l="1"/>
  <c r="H102" i="1"/>
  <c r="D50" i="1"/>
  <c r="H104" i="1" l="1"/>
  <c r="H99" i="1"/>
  <c r="D51" i="1"/>
  <c r="H101" i="1" l="1"/>
  <c r="H106" i="1"/>
  <c r="D52" i="1"/>
  <c r="H108" i="1" l="1"/>
  <c r="H103" i="1"/>
  <c r="D53" i="1"/>
  <c r="H105" i="1" l="1"/>
  <c r="H110" i="1"/>
  <c r="D54" i="1"/>
  <c r="H112" i="1" l="1"/>
  <c r="H107" i="1"/>
  <c r="D55" i="1"/>
  <c r="H109" i="1" l="1"/>
  <c r="H114" i="1"/>
  <c r="D56" i="1"/>
  <c r="H116" i="1" l="1"/>
  <c r="H111" i="1"/>
  <c r="D57" i="1"/>
  <c r="H113" i="1" l="1"/>
  <c r="H118" i="1"/>
  <c r="D58" i="1"/>
  <c r="H120" i="1" l="1"/>
  <c r="H115" i="1"/>
  <c r="D59" i="1"/>
  <c r="H117" i="1" l="1"/>
  <c r="H122" i="1"/>
  <c r="D60" i="1"/>
  <c r="H124" i="1" l="1"/>
  <c r="H119" i="1"/>
  <c r="D61" i="1"/>
  <c r="H121" i="1" l="1"/>
  <c r="H126" i="1"/>
  <c r="D62" i="1"/>
  <c r="H128" i="1" l="1"/>
  <c r="H123" i="1"/>
  <c r="D63" i="1"/>
  <c r="H125" i="1" l="1"/>
  <c r="H130" i="1"/>
  <c r="D64" i="1"/>
  <c r="H132" i="1" l="1"/>
  <c r="H127" i="1"/>
  <c r="D65" i="1"/>
  <c r="H129" i="1" l="1"/>
  <c r="H134" i="1"/>
  <c r="D66" i="1"/>
  <c r="H136" i="1" l="1"/>
  <c r="H131" i="1"/>
  <c r="D67" i="1"/>
  <c r="H133" i="1" l="1"/>
  <c r="H138" i="1"/>
  <c r="D68" i="1"/>
  <c r="H140" i="1" l="1"/>
  <c r="H135" i="1"/>
  <c r="D69" i="1"/>
  <c r="H137" i="1" l="1"/>
  <c r="H142" i="1"/>
  <c r="D70" i="1"/>
  <c r="H144" i="1" l="1"/>
  <c r="H139" i="1"/>
  <c r="D71" i="1"/>
  <c r="H141" i="1" l="1"/>
  <c r="H146" i="1"/>
  <c r="D72" i="1"/>
  <c r="H148" i="1" l="1"/>
  <c r="H143" i="1"/>
  <c r="D73" i="1"/>
  <c r="H145" i="1" l="1"/>
  <c r="H150" i="1"/>
  <c r="D74" i="1"/>
  <c r="H152" i="1" l="1"/>
  <c r="H147" i="1"/>
  <c r="D75" i="1"/>
  <c r="H149" i="1" l="1"/>
  <c r="H154" i="1"/>
  <c r="D76" i="1"/>
  <c r="H156" i="1" l="1"/>
  <c r="H151" i="1"/>
  <c r="D77" i="1"/>
  <c r="H153" i="1" l="1"/>
  <c r="H158" i="1"/>
  <c r="D78" i="1"/>
  <c r="H160" i="1" l="1"/>
  <c r="H155" i="1"/>
  <c r="D79" i="1"/>
  <c r="H157" i="1" l="1"/>
  <c r="H162" i="1"/>
  <c r="D80" i="1"/>
  <c r="H164" i="1" l="1"/>
  <c r="H159" i="1"/>
  <c r="D81" i="1"/>
  <c r="H161" i="1" l="1"/>
  <c r="H166" i="1"/>
  <c r="D82" i="1"/>
  <c r="H168" i="1" l="1"/>
  <c r="H163" i="1"/>
  <c r="D83" i="1"/>
  <c r="H165" i="1" l="1"/>
  <c r="H170" i="1"/>
  <c r="D84" i="1"/>
  <c r="H172" i="1" l="1"/>
  <c r="H167" i="1"/>
  <c r="D85" i="1"/>
  <c r="H169" i="1" l="1"/>
  <c r="H174" i="1"/>
  <c r="D86" i="1"/>
  <c r="H176" i="1" l="1"/>
  <c r="H171" i="1"/>
  <c r="D87" i="1"/>
  <c r="H173" i="1" l="1"/>
  <c r="H178" i="1"/>
  <c r="D88" i="1"/>
  <c r="H180" i="1" l="1"/>
  <c r="H175" i="1"/>
  <c r="D89" i="1"/>
  <c r="H177" i="1" l="1"/>
  <c r="H182" i="1"/>
  <c r="D90" i="1"/>
  <c r="H184" i="1" l="1"/>
  <c r="H179" i="1"/>
  <c r="D91" i="1"/>
  <c r="H181" i="1" l="1"/>
  <c r="H186" i="1"/>
  <c r="D92" i="1"/>
  <c r="H188" i="1" l="1"/>
  <c r="H183" i="1"/>
  <c r="D93" i="1"/>
  <c r="H185" i="1" l="1"/>
  <c r="H190" i="1"/>
  <c r="D94" i="1"/>
  <c r="H192" i="1" l="1"/>
  <c r="H187" i="1"/>
  <c r="D95" i="1"/>
  <c r="H189" i="1" l="1"/>
  <c r="H194" i="1"/>
  <c r="D96" i="1"/>
  <c r="H196" i="1" l="1"/>
  <c r="H191" i="1"/>
  <c r="D97" i="1"/>
  <c r="H193" i="1" l="1"/>
  <c r="H198" i="1"/>
  <c r="D98" i="1"/>
  <c r="H200" i="1" l="1"/>
  <c r="H195" i="1"/>
  <c r="D99" i="1"/>
  <c r="H197" i="1" l="1"/>
  <c r="H204" i="1"/>
  <c r="H202" i="1"/>
  <c r="D100" i="1"/>
  <c r="H199" i="1" l="1"/>
  <c r="D101" i="1"/>
  <c r="H203" i="1" l="1"/>
  <c r="H201" i="1"/>
  <c r="D102" i="1"/>
  <c r="D103" i="1" l="1"/>
  <c r="D104" i="1" l="1"/>
  <c r="D105" i="1" l="1"/>
  <c r="D106" i="1" l="1"/>
  <c r="D107" i="1" l="1"/>
  <c r="D108" i="1" l="1"/>
  <c r="D109" i="1" l="1"/>
  <c r="D110" i="1" l="1"/>
  <c r="D111" i="1" l="1"/>
  <c r="D112" i="1" l="1"/>
  <c r="D113" i="1" l="1"/>
  <c r="D114" i="1" l="1"/>
  <c r="D115" i="1" l="1"/>
  <c r="D116" i="1" l="1"/>
  <c r="D117" i="1" l="1"/>
  <c r="D118" i="1" l="1"/>
  <c r="D119" i="1" l="1"/>
  <c r="D120" i="1" l="1"/>
  <c r="D121" i="1" l="1"/>
  <c r="D122" i="1" l="1"/>
  <c r="D123" i="1" l="1"/>
  <c r="D124" i="1" l="1"/>
  <c r="D125" i="1" l="1"/>
  <c r="D126" i="1" l="1"/>
  <c r="D127" i="1" l="1"/>
  <c r="D128" i="1" l="1"/>
  <c r="D129" i="1" l="1"/>
  <c r="D130" i="1" l="1"/>
  <c r="D131" i="1" l="1"/>
  <c r="D132" i="1" l="1"/>
  <c r="D133" i="1" l="1"/>
  <c r="D134" i="1" l="1"/>
  <c r="D135" i="1" l="1"/>
  <c r="D136" i="1" l="1"/>
  <c r="D137" i="1" l="1"/>
  <c r="D138" i="1" l="1"/>
  <c r="D139" i="1" l="1"/>
  <c r="D140" i="1" l="1"/>
  <c r="D141" i="1" l="1"/>
  <c r="D142" i="1" l="1"/>
  <c r="D143" i="1" l="1"/>
  <c r="D144" i="1" l="1"/>
  <c r="D145" i="1" l="1"/>
  <c r="D146" i="1" l="1"/>
  <c r="D147" i="1" l="1"/>
  <c r="D148" i="1" l="1"/>
  <c r="D149" i="1" l="1"/>
  <c r="D150" i="1" l="1"/>
  <c r="D151" i="1" l="1"/>
  <c r="D152" i="1" l="1"/>
  <c r="D153" i="1" l="1"/>
  <c r="D154" i="1" l="1"/>
  <c r="D155" i="1" l="1"/>
  <c r="D156" i="1" l="1"/>
  <c r="D157" i="1" l="1"/>
  <c r="D158" i="1" l="1"/>
  <c r="D159" i="1" l="1"/>
  <c r="D160" i="1" l="1"/>
  <c r="D161" i="1" l="1"/>
  <c r="D162" i="1" l="1"/>
  <c r="D163" i="1" l="1"/>
  <c r="D164" i="1" l="1"/>
  <c r="D165" i="1" l="1"/>
  <c r="D166" i="1" l="1"/>
  <c r="D167" i="1" l="1"/>
  <c r="D168" i="1" l="1"/>
  <c r="D169" i="1" l="1"/>
  <c r="D170" i="1" l="1"/>
  <c r="D171" i="1" l="1"/>
  <c r="D172" i="1" l="1"/>
  <c r="D173" i="1" l="1"/>
  <c r="D174" i="1" l="1"/>
  <c r="D175" i="1" l="1"/>
  <c r="D176" i="1" l="1"/>
  <c r="D177" i="1" l="1"/>
  <c r="D178" i="1" l="1"/>
  <c r="D179" i="1" l="1"/>
  <c r="D180" i="1" l="1"/>
  <c r="D181" i="1" l="1"/>
  <c r="D182" i="1" l="1"/>
  <c r="D183" i="1" l="1"/>
  <c r="D184" i="1" l="1"/>
  <c r="D185" i="1" l="1"/>
  <c r="D186" i="1" l="1"/>
  <c r="D187" i="1" l="1"/>
  <c r="D188" i="1" l="1"/>
  <c r="D189" i="1" l="1"/>
  <c r="D190" i="1" l="1"/>
  <c r="D191" i="1" l="1"/>
  <c r="D192" i="1" l="1"/>
  <c r="D193" i="1" l="1"/>
  <c r="D194" i="1" l="1"/>
  <c r="D195" i="1" l="1"/>
  <c r="D196" i="1" l="1"/>
  <c r="D197" i="1" l="1"/>
  <c r="D198" i="1" l="1"/>
  <c r="D199" i="1" l="1"/>
  <c r="D200" i="1" l="1"/>
  <c r="D201" i="1" l="1"/>
  <c r="D202" i="1" l="1"/>
  <c r="D203" i="1" l="1"/>
  <c r="D204" i="1" l="1"/>
</calcChain>
</file>

<file path=xl/sharedStrings.xml><?xml version="1.0" encoding="utf-8"?>
<sst xmlns="http://schemas.openxmlformats.org/spreadsheetml/2006/main" count="27" uniqueCount="16">
  <si>
    <t>Stock Price</t>
  </si>
  <si>
    <t>Strike</t>
  </si>
  <si>
    <t>Vol</t>
  </si>
  <si>
    <t>Interest Rate</t>
  </si>
  <si>
    <t>Time</t>
  </si>
  <si>
    <t>d1</t>
  </si>
  <si>
    <t>d2</t>
  </si>
  <si>
    <t>N(d1)</t>
  </si>
  <si>
    <t>N(d2)</t>
  </si>
  <si>
    <t xml:space="preserve">Call Price </t>
  </si>
  <si>
    <t>Put Price</t>
  </si>
  <si>
    <t>Time Value</t>
  </si>
  <si>
    <t>Intrinsic Value</t>
  </si>
  <si>
    <t>long call</t>
  </si>
  <si>
    <t>short call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</si>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</sst>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quotePrefix="1"/>
    <xf numFmtId="0" fontId="0" fillId="0" borderId="2" xfId="0" applyBorder="1"/>
    <xf numFmtId="0" fontId="0" fillId="0" borderId="3" xfId="0" applyBorder="1"/>
    <xf numFmtId="0" fontId="0" fillId="3" borderId="1" xfId="0" applyFill="1" applyBorder="1"/>
    <xf numFmtId="0" fontId="0" fillId="2" borderId="4" xfId="0" applyFill="1" applyBorder="1"/>
    <xf numFmtId="0" fontId="0" fillId="4" borderId="5" xfId="0" applyFill="1" applyBorder="1"/>
    <xf numFmtId="0" fontId="1" fillId="5" borderId="4" xfId="0" applyFont="1" applyFill="1" applyBorder="1"/>
    <xf numFmtId="0" fontId="1" fillId="5" borderId="8" xfId="0" applyFont="1" applyFill="1" applyBorder="1"/>
    <xf numFmtId="0" fontId="1" fillId="5" borderId="5" xfId="0" applyFont="1" applyFill="1" applyBorder="1"/>
    <xf numFmtId="0" fontId="0" fillId="6" borderId="2" xfId="0" applyFill="1" applyBorder="1"/>
    <xf numFmtId="0" fontId="0" fillId="6" borderId="7" xfId="0" applyFill="1" applyBorder="1"/>
    <xf numFmtId="10" fontId="0" fillId="6" borderId="7" xfId="0" applyNumberFormat="1" applyFill="1" applyBorder="1"/>
    <xf numFmtId="0" fontId="0" fillId="6" borderId="3" xfId="0" applyFill="1" applyBorder="1"/>
    <xf numFmtId="0" fontId="0" fillId="7" borderId="6" xfId="0" applyFill="1" applyBorder="1"/>
    <xf numFmtId="0" fontId="2" fillId="7" borderId="6" xfId="0" applyFont="1" applyFill="1" applyBorder="1"/>
    <xf numFmtId="9" fontId="0" fillId="6" borderId="7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Sheet1!$D$4:$D$204</c:f>
              <c:numCache>
                <c:formatCode>General</c:formatCode>
                <c:ptCount val="2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</c:numCache>
            </c:numRef>
          </c:xVal>
          <c:yVal>
            <c:numRef>
              <c:f>Sheet1!$E$4:$E$204</c:f>
              <c:numCache>
                <c:formatCode>General</c:formatCode>
                <c:ptCount val="201"/>
                <c:pt idx="0">
                  <c:v>8.3171839370757435E-73</c:v>
                </c:pt>
                <c:pt idx="1">
                  <c:v>3.9424640270806552E-53</c:v>
                </c:pt>
                <c:pt idx="2">
                  <c:v>4.4977129078877771E-43</c:v>
                </c:pt>
                <c:pt idx="3">
                  <c:v>1.3801137405672562E-36</c:v>
                </c:pt>
                <c:pt idx="4">
                  <c:v>6.3298674052079445E-32</c:v>
                </c:pt>
                <c:pt idx="5">
                  <c:v>2.3467543052915858E-28</c:v>
                </c:pt>
                <c:pt idx="6">
                  <c:v>1.6605132838548985E-25</c:v>
                </c:pt>
                <c:pt idx="7">
                  <c:v>3.6706775841506234E-23</c:v>
                </c:pt>
                <c:pt idx="8">
                  <c:v>3.445889083952159E-21</c:v>
                </c:pt>
                <c:pt idx="9">
                  <c:v>1.6832164001068464E-19</c:v>
                </c:pt>
                <c:pt idx="10">
                  <c:v>4.9252911905324089E-18</c:v>
                </c:pt>
                <c:pt idx="11">
                  <c:v>9.5538102387480743E-17</c:v>
                </c:pt>
                <c:pt idx="12">
                  <c:v>1.3242975306448736E-15</c:v>
                </c:pt>
                <c:pt idx="13">
                  <c:v>1.3887952648819308E-14</c:v>
                </c:pt>
                <c:pt idx="14">
                  <c:v>1.1517597395201994E-13</c:v>
                </c:pt>
                <c:pt idx="15">
                  <c:v>7.8225021938326144E-13</c:v>
                </c:pt>
                <c:pt idx="16">
                  <c:v>4.4748272451615603E-12</c:v>
                </c:pt>
                <c:pt idx="17">
                  <c:v>2.2057930229360233E-11</c:v>
                </c:pt>
                <c:pt idx="18">
                  <c:v>9.5470356078171107E-11</c:v>
                </c:pt>
                <c:pt idx="19">
                  <c:v>3.6853033879400379E-10</c:v>
                </c:pt>
                <c:pt idx="20">
                  <c:v>1.2855152595369731E-9</c:v>
                </c:pt>
                <c:pt idx="21">
                  <c:v>4.0973859406678013E-9</c:v>
                </c:pt>
                <c:pt idx="22">
                  <c:v>1.2047076088586927E-8</c:v>
                </c:pt>
                <c:pt idx="23">
                  <c:v>3.2941434932543136E-8</c:v>
                </c:pt>
                <c:pt idx="24">
                  <c:v>8.4363124779819876E-8</c:v>
                </c:pt>
                <c:pt idx="25">
                  <c:v>2.035999341143122E-7</c:v>
                </c:pt>
                <c:pt idx="26">
                  <c:v>4.655319873468525E-7</c:v>
                </c:pt>
                <c:pt idx="27">
                  <c:v>1.013255322138786E-6</c:v>
                </c:pt>
                <c:pt idx="28">
                  <c:v>2.1081285646126514E-6</c:v>
                </c:pt>
                <c:pt idx="29">
                  <c:v>4.2081487166496155E-6</c:v>
                </c:pt>
                <c:pt idx="30">
                  <c:v>8.0859709826276228E-6</c:v>
                </c:pt>
                <c:pt idx="31">
                  <c:v>1.5000303584369109E-5</c:v>
                </c:pt>
                <c:pt idx="32">
                  <c:v>2.6936598664558276E-5</c:v>
                </c:pt>
                <c:pt idx="33">
                  <c:v>4.6934660821392827E-5</c:v>
                </c:pt>
                <c:pt idx="34">
                  <c:v>7.9521737063866036E-5</c:v>
                </c:pt>
                <c:pt idx="35">
                  <c:v>1.3126959227506086E-4</c:v>
                </c:pt>
                <c:pt idx="36">
                  <c:v>2.1149282221382282E-4</c:v>
                </c:pt>
                <c:pt idx="37">
                  <c:v>3.3310309869949688E-4</c:v>
                </c:pt>
                <c:pt idx="38">
                  <c:v>5.1363015993354313E-4</c:v>
                </c:pt>
                <c:pt idx="39">
                  <c:v>7.7641523512735934E-4</c:v>
                </c:pt>
                <c:pt idx="40">
                  <c:v>1.1519764073750043E-3</c:v>
                </c:pt>
                <c:pt idx="41">
                  <c:v>1.6795384391173028E-3</c:v>
                </c:pt>
                <c:pt idx="42">
                  <c:v>2.4087121445249826E-3</c:v>
                </c:pt>
                <c:pt idx="43">
                  <c:v>3.4013008686874652E-3</c:v>
                </c:pt>
                <c:pt idx="44">
                  <c:v>4.7332044153767655E-3</c:v>
                </c:pt>
                <c:pt idx="45">
                  <c:v>6.496384231648944E-3</c:v>
                </c:pt>
                <c:pt idx="46">
                  <c:v>8.8008481497025975E-3</c:v>
                </c:pt>
                <c:pt idx="47">
                  <c:v>1.1776608787575887E-2</c:v>
                </c:pt>
                <c:pt idx="48">
                  <c:v>1.5575567031035575E-2</c:v>
                </c:pt>
                <c:pt idx="49">
                  <c:v>2.0373270988313985E-2</c:v>
                </c:pt>
                <c:pt idx="50">
                  <c:v>2.6370501471558672E-2</c:v>
                </c:pt>
                <c:pt idx="51">
                  <c:v>3.3794637376458825E-2</c:v>
                </c:pt>
                <c:pt idx="52">
                  <c:v>4.2900758192537636E-2</c:v>
                </c:pt>
                <c:pt idx="53">
                  <c:v>5.3972446105734151E-2</c:v>
                </c:pt>
                <c:pt idx="54">
                  <c:v>6.732225652699364E-2</c:v>
                </c:pt>
                <c:pt idx="55">
                  <c:v>8.3291833135469284E-2</c:v>
                </c:pt>
                <c:pt idx="56">
                  <c:v>0.10225165138278292</c:v>
                </c:pt>
                <c:pt idx="57">
                  <c:v>0.12460038258003725</c:v>
                </c:pt>
                <c:pt idx="58">
                  <c:v>0.15076387890432486</c:v>
                </c:pt>
                <c:pt idx="59">
                  <c:v>0.18119378765706173</c:v>
                </c:pt>
                <c:pt idx="60">
                  <c:v>0.21636581065132932</c:v>
                </c:pt>
                <c:pt idx="61">
                  <c:v>0.25677763150180377</c:v>
                </c:pt>
                <c:pt idx="62">
                  <c:v>0.30294653967998908</c:v>
                </c:pt>
                <c:pt idx="63">
                  <c:v>0.3554067853598375</c:v>
                </c:pt>
                <c:pt idx="64">
                  <c:v>0.4147067032362135</c:v>
                </c:pt>
                <c:pt idx="65">
                  <c:v>0.48140564661008778</c:v>
                </c:pt>
                <c:pt idx="66">
                  <c:v>0.55607077509565883</c:v>
                </c:pt>
                <c:pt idx="67">
                  <c:v>0.63927374034227125</c:v>
                </c:pt>
                <c:pt idx="68">
                  <c:v>0.73158731423183809</c:v>
                </c:pt>
                <c:pt idx="69">
                  <c:v>0.83358200318654774</c:v>
                </c:pt>
                <c:pt idx="70">
                  <c:v>0.94582269059428015</c:v>
                </c:pt>
                <c:pt idx="71">
                  <c:v>1.0688653470351213</c:v>
                </c:pt>
                <c:pt idx="72">
                  <c:v>1.2032538450836547</c:v>
                </c:pt>
                <c:pt idx="73">
                  <c:v>1.3495169120832706</c:v>
                </c:pt>
                <c:pt idx="74">
                  <c:v>1.5081652505546135</c:v>
                </c:pt>
                <c:pt idx="75">
                  <c:v>1.6796888519214956</c:v>
                </c:pt>
                <c:pt idx="76">
                  <c:v>1.8645545251175442</c:v>
                </c:pt>
                <c:pt idx="77">
                  <c:v>2.0632036574719503</c:v>
                </c:pt>
                <c:pt idx="78">
                  <c:v>2.2760502211482159</c:v>
                </c:pt>
                <c:pt idx="79">
                  <c:v>2.5034790344013906</c:v>
                </c:pt>
                <c:pt idx="80">
                  <c:v>2.7458442830903316</c:v>
                </c:pt>
                <c:pt idx="81">
                  <c:v>3.0034683042849366</c:v>
                </c:pt>
                <c:pt idx="82">
                  <c:v>3.2766406304858933</c:v>
                </c:pt>
                <c:pt idx="83">
                  <c:v>3.5656172899554335</c:v>
                </c:pt>
                <c:pt idx="84">
                  <c:v>3.8706203559658583</c:v>
                </c:pt>
                <c:pt idx="85">
                  <c:v>4.191837735416776</c:v>
                </c:pt>
                <c:pt idx="86">
                  <c:v>4.5294231852588602</c:v>
                </c:pt>
                <c:pt idx="87">
                  <c:v>4.8834965434865367</c:v>
                </c:pt>
                <c:pt idx="88">
                  <c:v>5.2541441601161019</c:v>
                </c:pt>
                <c:pt idx="89">
                  <c:v>5.6414195125353785</c:v>
                </c:pt>
                <c:pt idx="90">
                  <c:v>6.0453439888770859</c:v>
                </c:pt>
                <c:pt idx="91">
                  <c:v>6.4659078226109372</c:v>
                </c:pt>
                <c:pt idx="92">
                  <c:v>6.9030711613447977</c:v>
                </c:pt>
                <c:pt idx="93">
                  <c:v>7.3567652528481631</c:v>
                </c:pt>
                <c:pt idx="94">
                  <c:v>7.8268937315371119</c:v>
                </c:pt>
                <c:pt idx="95">
                  <c:v>8.313333989062194</c:v>
                </c:pt>
                <c:pt idx="96">
                  <c:v>8.8159386131945467</c:v>
                </c:pt>
                <c:pt idx="97">
                  <c:v>9.3345368798863291</c:v>
                </c:pt>
                <c:pt idx="98">
                  <c:v>9.8689362841653931</c:v>
                </c:pt>
                <c:pt idx="99">
                  <c:v>10.418924096390029</c:v>
                </c:pt>
                <c:pt idx="100">
                  <c:v>10.984268931315526</c:v>
                </c:pt>
                <c:pt idx="101">
                  <c:v>11.564722318392654</c:v>
                </c:pt>
                <c:pt idx="102">
                  <c:v>12.160020262711683</c:v>
                </c:pt>
                <c:pt idx="103">
                  <c:v>12.769884787008451</c:v>
                </c:pt>
                <c:pt idx="104">
                  <c:v>13.394025446148362</c:v>
                </c:pt>
                <c:pt idx="105">
                  <c:v>14.032140806488634</c:v>
                </c:pt>
                <c:pt idx="106">
                  <c:v>14.683919883477998</c:v>
                </c:pt>
                <c:pt idx="107">
                  <c:v>15.349043531778612</c:v>
                </c:pt>
                <c:pt idx="108">
                  <c:v>16.02718578308022</c:v>
                </c:pt>
                <c:pt idx="109">
                  <c:v>16.718015127616432</c:v>
                </c:pt>
                <c:pt idx="110">
                  <c:v>17.421195736182867</c:v>
                </c:pt>
                <c:pt idx="111">
                  <c:v>18.13638862019414</c:v>
                </c:pt>
                <c:pt idx="112">
                  <c:v>18.863252727999892</c:v>
                </c:pt>
                <c:pt idx="113">
                  <c:v>19.601445976307403</c:v>
                </c:pt>
                <c:pt idx="114">
                  <c:v>20.350626216129982</c:v>
                </c:pt>
                <c:pt idx="115">
                  <c:v>21.110452133197896</c:v>
                </c:pt>
                <c:pt idx="116">
                  <c:v>21.880584083230914</c:v>
                </c:pt>
                <c:pt idx="117">
                  <c:v>22.660684862883457</c:v>
                </c:pt>
                <c:pt idx="118">
                  <c:v>23.450420417532712</c:v>
                </c:pt>
                <c:pt idx="119">
                  <c:v>24.24946048739443</c:v>
                </c:pt>
                <c:pt idx="120">
                  <c:v>25.057479193717811</c:v>
                </c:pt>
                <c:pt idx="121">
                  <c:v>25.874155567036425</c:v>
                </c:pt>
                <c:pt idx="122">
                  <c:v>26.699174019637653</c:v>
                </c:pt>
                <c:pt idx="123">
                  <c:v>27.532224764562613</c:v>
                </c:pt>
                <c:pt idx="124">
                  <c:v>28.373004183562912</c:v>
                </c:pt>
                <c:pt idx="125">
                  <c:v>29.221215146525495</c:v>
                </c:pt>
                <c:pt idx="126">
                  <c:v>30.076567284934058</c:v>
                </c:pt>
                <c:pt idx="127">
                  <c:v>30.938777221965879</c:v>
                </c:pt>
                <c:pt idx="128">
                  <c:v>31.807568761832698</c:v>
                </c:pt>
                <c:pt idx="129">
                  <c:v>32.682673040963479</c:v>
                </c:pt>
                <c:pt idx="130">
                  <c:v>33.563828643598214</c:v>
                </c:pt>
                <c:pt idx="131">
                  <c:v>34.450781684319381</c:v>
                </c:pt>
                <c:pt idx="132">
                  <c:v>35.34328585999053</c:v>
                </c:pt>
                <c:pt idx="133">
                  <c:v>36.241102473504966</c:v>
                </c:pt>
                <c:pt idx="134">
                  <c:v>37.144000431670591</c:v>
                </c:pt>
                <c:pt idx="135">
                  <c:v>38.05175621947312</c:v>
                </c:pt>
                <c:pt idx="136">
                  <c:v>38.964153852870837</c:v>
                </c:pt>
                <c:pt idx="137">
                  <c:v>39.880984812178568</c:v>
                </c:pt>
                <c:pt idx="138">
                  <c:v>40.802047958002447</c:v>
                </c:pt>
                <c:pt idx="139">
                  <c:v>41.727149431586327</c:v>
                </c:pt>
                <c:pt idx="140">
                  <c:v>42.656102541330668</c:v>
                </c:pt>
                <c:pt idx="141">
                  <c:v>43.588727637143677</c:v>
                </c:pt>
                <c:pt idx="142">
                  <c:v>44.524851974183605</c:v>
                </c:pt>
                <c:pt idx="143">
                  <c:v>45.464309567453242</c:v>
                </c:pt>
                <c:pt idx="144">
                  <c:v>46.406941038608295</c:v>
                </c:pt>
                <c:pt idx="145">
                  <c:v>47.352593456248655</c:v>
                </c:pt>
                <c:pt idx="146">
                  <c:v>48.301120170867151</c:v>
                </c:pt>
                <c:pt idx="147">
                  <c:v>49.252380645542232</c:v>
                </c:pt>
                <c:pt idx="148">
                  <c:v>50.206240283374612</c:v>
                </c:pt>
                <c:pt idx="149">
                  <c:v>51.162570252585169</c:v>
                </c:pt>
                <c:pt idx="150">
                  <c:v>52.121247310113134</c:v>
                </c:pt>
                <c:pt idx="151">
                  <c:v>53.082153624477229</c:v>
                </c:pt>
                <c:pt idx="152">
                  <c:v>54.045176598592818</c:v>
                </c:pt>
                <c:pt idx="153">
                  <c:v>55.01020869316875</c:v>
                </c:pt>
                <c:pt idx="154">
                  <c:v>55.977147251245285</c:v>
                </c:pt>
                <c:pt idx="155">
                  <c:v>56.945894324373938</c:v>
                </c:pt>
                <c:pt idx="156">
                  <c:v>57.91635650088422</c:v>
                </c:pt>
                <c:pt idx="157">
                  <c:v>58.888444736629467</c:v>
                </c:pt>
                <c:pt idx="158">
                  <c:v>59.862074188555354</c:v>
                </c:pt>
                <c:pt idx="159">
                  <c:v>60.837164051388882</c:v>
                </c:pt>
                <c:pt idx="160">
                  <c:v>61.813637397703772</c:v>
                </c:pt>
                <c:pt idx="161">
                  <c:v>62.791421021579055</c:v>
                </c:pt>
                <c:pt idx="162">
                  <c:v>63.770445286031645</c:v>
                </c:pt>
                <c:pt idx="163">
                  <c:v>64.750643974371073</c:v>
                </c:pt>
                <c:pt idx="164">
                  <c:v>65.731954145594244</c:v>
                </c:pt>
                <c:pt idx="165">
                  <c:v>66.714315993909835</c:v>
                </c:pt>
                <c:pt idx="166">
                  <c:v>67.697672712458328</c:v>
                </c:pt>
                <c:pt idx="167">
                  <c:v>68.681970361269506</c:v>
                </c:pt>
                <c:pt idx="168">
                  <c:v>69.66715773947962</c:v>
                </c:pt>
                <c:pt idx="169">
                  <c:v>70.653186261811669</c:v>
                </c:pt>
                <c:pt idx="170">
                  <c:v>71.640009839305819</c:v>
                </c:pt>
                <c:pt idx="171">
                  <c:v>72.627584764272157</c:v>
                </c:pt>
                <c:pt idx="172">
                  <c:v>73.615869599425466</c:v>
                </c:pt>
                <c:pt idx="173">
                  <c:v>74.604825071149122</c:v>
                </c:pt>
                <c:pt idx="174">
                  <c:v>75.594413966826863</c:v>
                </c:pt>
                <c:pt idx="175">
                  <c:v>76.584601036170952</c:v>
                </c:pt>
                <c:pt idx="176">
                  <c:v>77.575352896468431</c:v>
                </c:pt>
                <c:pt idx="177">
                  <c:v>78.566637941661341</c:v>
                </c:pt>
                <c:pt idx="178">
                  <c:v>79.558426255170374</c:v>
                </c:pt>
                <c:pt idx="179">
                  <c:v>80.550689526367975</c:v>
                </c:pt>
                <c:pt idx="180">
                  <c:v>81.543400970603201</c:v>
                </c:pt>
                <c:pt idx="181">
                  <c:v>82.536535252677581</c:v>
                </c:pt>
                <c:pt idx="182">
                  <c:v>83.53006841366944</c:v>
                </c:pt>
                <c:pt idx="183">
                  <c:v>84.523977801003085</c:v>
                </c:pt>
                <c:pt idx="184">
                  <c:v>85.518242001657867</c:v>
                </c:pt>
                <c:pt idx="185">
                  <c:v>86.512840778411999</c:v>
                </c:pt>
                <c:pt idx="186">
                  <c:v>87.507755009016591</c:v>
                </c:pt>
                <c:pt idx="187">
                  <c:v>88.502966628195395</c:v>
                </c:pt>
                <c:pt idx="188">
                  <c:v>89.49845857236653</c:v>
                </c:pt>
                <c:pt idx="189">
                  <c:v>90.494214726984865</c:v>
                </c:pt>
                <c:pt idx="190">
                  <c:v>91.490219876403302</c:v>
                </c:pt>
                <c:pt idx="191">
                  <c:v>92.486459656154736</c:v>
                </c:pt>
                <c:pt idx="192">
                  <c:v>93.482920507557665</c:v>
                </c:pt>
                <c:pt idx="193">
                  <c:v>94.479589634549683</c:v>
                </c:pt>
                <c:pt idx="194">
                  <c:v>95.476454962657371</c:v>
                </c:pt>
                <c:pt idx="195">
                  <c:v>96.473505100011295</c:v>
                </c:pt>
                <c:pt idx="196">
                  <c:v>97.470729300318538</c:v>
                </c:pt>
                <c:pt idx="197">
                  <c:v>98.468117427707483</c:v>
                </c:pt>
                <c:pt idx="198">
                  <c:v>99.46565992336194</c:v>
                </c:pt>
                <c:pt idx="199">
                  <c:v>100.46334777386433</c:v>
                </c:pt>
                <c:pt idx="200">
                  <c:v>101.46117248117054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A3-4E59-A1DE-B42B3F45133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Sheet1!$D$4:$D$204</c:f>
              <c:numCache>
                <c:formatCode>General</c:formatCode>
                <c:ptCount val="2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</c:numCache>
            </c:numRef>
          </c:xVal>
          <c:yVal>
            <c:numRef>
              <c:f>Sheet1!$F$4:$F$204</c:f>
              <c:numCache>
                <c:formatCode>General</c:formatCode>
                <c:ptCount val="201"/>
                <c:pt idx="0">
                  <c:v>-1.3541814961305276E-85</c:v>
                </c:pt>
                <c:pt idx="1">
                  <c:v>-4.3949891873270624E-64</c:v>
                </c:pt>
                <c:pt idx="2">
                  <c:v>-5.9136960406209828E-53</c:v>
                </c:pt>
                <c:pt idx="3">
                  <c:v>-1.0420767867626589E-45</c:v>
                </c:pt>
                <c:pt idx="4">
                  <c:v>-1.8505031422352263E-40</c:v>
                </c:pt>
                <c:pt idx="5">
                  <c:v>-2.0701706108508789E-36</c:v>
                </c:pt>
                <c:pt idx="6">
                  <c:v>-3.7215291109665662E-33</c:v>
                </c:pt>
                <c:pt idx="7">
                  <c:v>-1.8428620233734884E-30</c:v>
                </c:pt>
                <c:pt idx="8">
                  <c:v>-3.52013145793735E-28</c:v>
                </c:pt>
                <c:pt idx="9">
                  <c:v>-3.2431678192716854E-26</c:v>
                </c:pt>
                <c:pt idx="10">
                  <c:v>-1.683378993112066E-24</c:v>
                </c:pt>
                <c:pt idx="11">
                  <c:v>-5.5060163762259539E-23</c:v>
                </c:pt>
                <c:pt idx="12">
                  <c:v>-1.2333093380082564E-21</c:v>
                </c:pt>
                <c:pt idx="13">
                  <c:v>-2.0155977733529662E-20</c:v>
                </c:pt>
                <c:pt idx="14">
                  <c:v>-2.5248246001602657E-19</c:v>
                </c:pt>
                <c:pt idx="15">
                  <c:v>-2.5205358399723539E-18</c:v>
                </c:pt>
                <c:pt idx="16">
                  <c:v>-2.069218597068284E-17</c:v>
                </c:pt>
                <c:pt idx="17">
                  <c:v>-1.4330715358122111E-16</c:v>
                </c:pt>
                <c:pt idx="18">
                  <c:v>-8.5512032524371337E-16</c:v>
                </c:pt>
                <c:pt idx="19">
                  <c:v>-4.4741395948798555E-15</c:v>
                </c:pt>
                <c:pt idx="20">
                  <c:v>-2.0831928973229012E-14</c:v>
                </c:pt>
                <c:pt idx="21">
                  <c:v>-8.7403662866274914E-14</c:v>
                </c:pt>
                <c:pt idx="22">
                  <c:v>-3.340129473622327E-13</c:v>
                </c:pt>
                <c:pt idx="23">
                  <c:v>-1.1733753290748954E-12</c:v>
                </c:pt>
                <c:pt idx="24">
                  <c:v>-3.8196377219835271E-12</c:v>
                </c:pt>
                <c:pt idx="25">
                  <c:v>-1.160231694854208E-11</c:v>
                </c:pt>
                <c:pt idx="26">
                  <c:v>-3.3086895344040298E-11</c:v>
                </c:pt>
                <c:pt idx="27">
                  <c:v>-8.9061702278551948E-11</c:v>
                </c:pt>
                <c:pt idx="28">
                  <c:v>-2.2736068409839751E-10</c:v>
                </c:pt>
                <c:pt idx="29">
                  <c:v>-5.5279550819100651E-10</c:v>
                </c:pt>
                <c:pt idx="30">
                  <c:v>-1.2849185324657175E-9</c:v>
                </c:pt>
                <c:pt idx="31">
                  <c:v>-2.8649330060372816E-9</c:v>
                </c:pt>
                <c:pt idx="32">
                  <c:v>-6.1460789110016953E-9</c:v>
                </c:pt>
                <c:pt idx="33">
                  <c:v>-1.2720778645496268E-8</c:v>
                </c:pt>
                <c:pt idx="34">
                  <c:v>-2.5464461270108166E-8</c:v>
                </c:pt>
                <c:pt idx="35">
                  <c:v>-4.9412152398814811E-8</c:v>
                </c:pt>
                <c:pt idx="36">
                  <c:v>-9.313146472920241E-8</c:v>
                </c:pt>
                <c:pt idx="37">
                  <c:v>-1.7081622212279934E-7</c:v>
                </c:pt>
                <c:pt idx="38">
                  <c:v>-3.0539990117146745E-7</c:v>
                </c:pt>
                <c:pt idx="39">
                  <c:v>-5.3307811067617246E-7</c:v>
                </c:pt>
                <c:pt idx="40">
                  <c:v>-9.097344164058036E-7</c:v>
                </c:pt>
                <c:pt idx="41">
                  <c:v>-1.5198829832081739E-6</c:v>
                </c:pt>
                <c:pt idx="42">
                  <c:v>-2.4888727134454424E-6</c:v>
                </c:pt>
                <c:pt idx="43">
                  <c:v>-3.9992376472425966E-6</c:v>
                </c:pt>
                <c:pt idx="44">
                  <c:v>-6.31222307497443E-6</c:v>
                </c:pt>
                <c:pt idx="45">
                  <c:v>-9.7956607825123087E-6</c:v>
                </c:pt>
                <c:pt idx="46">
                  <c:v>-1.4959503923630733E-5</c:v>
                </c:pt>
                <c:pt idx="47">
                  <c:v>-2.2500455376553582E-5</c:v>
                </c:pt>
                <c:pt idx="48">
                  <c:v>-3.3357225936001488E-5</c:v>
                </c:pt>
                <c:pt idx="49">
                  <c:v>-4.8778033152238848E-5</c:v>
                </c:pt>
                <c:pt idx="50">
                  <c:v>-7.0401991232088915E-5</c:v>
                </c:pt>
                <c:pt idx="51">
                  <c:v>-1.0035604103671115E-4</c:v>
                </c:pt>
                <c:pt idx="52">
                  <c:v>-1.4136902174506812E-4</c:v>
                </c:pt>
                <c:pt idx="53">
                  <c:v>-1.9690438841259107E-4</c:v>
                </c:pt>
                <c:pt idx="54">
                  <c:v>-2.7131293019712083E-4</c:v>
                </c:pt>
                <c:pt idx="55">
                  <c:v>-3.7000664191164101E-4</c:v>
                </c:pt>
                <c:pt idx="56">
                  <c:v>-4.9965464804924489E-4</c:v>
                </c:pt>
                <c:pt idx="57">
                  <c:v>-6.6840177655905393E-4</c:v>
                </c:pt>
                <c:pt idx="58">
                  <c:v>-8.861100342077953E-4</c:v>
                </c:pt>
                <c:pt idx="59">
                  <c:v>-1.1646228526910364E-3</c:v>
                </c:pt>
                <c:pt idx="60">
                  <c:v>-1.5180515624883886E-3</c:v>
                </c:pt>
                <c:pt idx="61">
                  <c:v>-1.9630831186263735E-3</c:v>
                </c:pt>
                <c:pt idx="62">
                  <c:v>-2.5193076586759525E-3</c:v>
                </c:pt>
                <c:pt idx="63">
                  <c:v>-3.2095640286359528E-3</c:v>
                </c:pt>
                <c:pt idx="64">
                  <c:v>-4.0603009771561505E-3</c:v>
                </c:pt>
                <c:pt idx="65">
                  <c:v>-5.1019513030311908E-3</c:v>
                </c:pt>
                <c:pt idx="66">
                  <c:v>-6.3693158547667578E-3</c:v>
                </c:pt>
                <c:pt idx="67">
                  <c:v>-7.9019539332795957E-3</c:v>
                </c:pt>
                <c:pt idx="68">
                  <c:v>-9.7445763474734159E-3</c:v>
                </c:pt>
                <c:pt idx="69">
                  <c:v>-1.1947437124388505E-2</c:v>
                </c:pt>
                <c:pt idx="70">
                  <c:v>-1.45667196863693E-2</c:v>
                </c:pt>
                <c:pt idx="71">
                  <c:v>-1.7664913181363817E-2</c:v>
                </c:pt>
                <c:pt idx="72">
                  <c:v>-2.1311174591669479E-2</c:v>
                </c:pt>
                <c:pt idx="73">
                  <c:v>-2.5581672252311949E-2</c:v>
                </c:pt>
                <c:pt idx="74">
                  <c:v>-3.0559906482470922E-2</c:v>
                </c:pt>
                <c:pt idx="75">
                  <c:v>-3.6337003170255178E-2</c:v>
                </c:pt>
                <c:pt idx="76">
                  <c:v>-4.3011976349663916E-2</c:v>
                </c:pt>
                <c:pt idx="77">
                  <c:v>-5.0691956064688237E-2</c:v>
                </c:pt>
                <c:pt idx="78">
                  <c:v>-5.9492378124006429E-2</c:v>
                </c:pt>
                <c:pt idx="79">
                  <c:v>-6.9537132704739602E-2</c:v>
                </c:pt>
                <c:pt idx="80">
                  <c:v>-8.0958669158601282E-2</c:v>
                </c:pt>
                <c:pt idx="81">
                  <c:v>-9.3898054801436759E-2</c:v>
                </c:pt>
                <c:pt idx="82">
                  <c:v>-0.10850498592029911</c:v>
                </c:pt>
                <c:pt idx="83">
                  <c:v>-0.12493774970320382</c:v>
                </c:pt>
                <c:pt idx="84">
                  <c:v>-0.14336313627826391</c:v>
                </c:pt>
                <c:pt idx="85">
                  <c:v>-0.16395630053356891</c:v>
                </c:pt>
                <c:pt idx="86">
                  <c:v>-0.18690057387005576</c:v>
                </c:pt>
                <c:pt idx="87">
                  <c:v>-0.21238722651010411</c:v>
                </c:pt>
                <c:pt idx="88">
                  <c:v>-0.24061518143863481</c:v>
                </c:pt>
                <c:pt idx="89">
                  <c:v>-0.2717906814855926</c:v>
                </c:pt>
                <c:pt idx="90">
                  <c:v>-0.30612691146411919</c:v>
                </c:pt>
                <c:pt idx="91">
                  <c:v>-0.34384357765305928</c:v>
                </c:pt>
                <c:pt idx="92">
                  <c:v>-0.38516644725270499</c:v>
                </c:pt>
                <c:pt idx="93">
                  <c:v>-0.43032685074552113</c:v>
                </c:pt>
                <c:pt idx="94">
                  <c:v>-0.47956115035758184</c:v>
                </c:pt>
                <c:pt idx="95">
                  <c:v>-0.53311017803975602</c:v>
                </c:pt>
                <c:pt idx="96">
                  <c:v>-0.59121864656982304</c:v>
                </c:pt>
                <c:pt idx="97">
                  <c:v>-0.65413453751760642</c:v>
                </c:pt>
                <c:pt idx="98">
                  <c:v>-0.72210846991513122</c:v>
                </c:pt>
                <c:pt idx="99">
                  <c:v>-0.79539305353411383</c:v>
                </c:pt>
                <c:pt idx="100">
                  <c:v>-0.87424223069452989</c:v>
                </c:pt>
                <c:pt idx="101">
                  <c:v>-0.95891061051340643</c:v>
                </c:pt>
                <c:pt idx="102">
                  <c:v>-1.0496527994533498</c:v>
                </c:pt>
                <c:pt idx="103">
                  <c:v>-1.1467227319491204</c:v>
                </c:pt>
                <c:pt idx="104">
                  <c:v>-1.2503730047798207</c:v>
                </c:pt>
                <c:pt idx="105">
                  <c:v>-1.3608542187169679</c:v>
                </c:pt>
                <c:pt idx="106">
                  <c:v>-1.4784143308179143</c:v>
                </c:pt>
                <c:pt idx="107">
                  <c:v>-1.6032980205526819</c:v>
                </c:pt>
                <c:pt idx="108">
                  <c:v>-1.7357460727534306</c:v>
                </c:pt>
                <c:pt idx="109">
                  <c:v>-1.8759947801618271</c:v>
                </c:pt>
                <c:pt idx="110">
                  <c:v>-2.0242753681249059</c:v>
                </c:pt>
                <c:pt idx="111">
                  <c:v>-2.180813443755552</c:v>
                </c:pt>
                <c:pt idx="112">
                  <c:v>-2.3458284716339186</c:v>
                </c:pt>
                <c:pt idx="113">
                  <c:v>-2.5195332778822461</c:v>
                </c:pt>
                <c:pt idx="114">
                  <c:v>-2.7021335842012384</c:v>
                </c:pt>
                <c:pt idx="115">
                  <c:v>-2.8938275732120537</c:v>
                </c:pt>
                <c:pt idx="116">
                  <c:v>-3.0948054862079211</c:v>
                </c:pt>
                <c:pt idx="117">
                  <c:v>-3.3052492541843748</c:v>
                </c:pt>
                <c:pt idx="118">
                  <c:v>-3.5253321627877874</c:v>
                </c:pt>
                <c:pt idx="119">
                  <c:v>-3.7552185516020842</c:v>
                </c:pt>
                <c:pt idx="120">
                  <c:v>-3.9950635479825607</c:v>
                </c:pt>
                <c:pt idx="121">
                  <c:v>-4.245012835444598</c:v>
                </c:pt>
                <c:pt idx="122">
                  <c:v>-4.5052024564274049</c:v>
                </c:pt>
                <c:pt idx="123">
                  <c:v>-4.775758649074394</c:v>
                </c:pt>
                <c:pt idx="124">
                  <c:v>-5.0567977175090562</c:v>
                </c:pt>
                <c:pt idx="125">
                  <c:v>-5.3484259349331467</c:v>
                </c:pt>
                <c:pt idx="126">
                  <c:v>-5.6507394787364262</c:v>
                </c:pt>
                <c:pt idx="127">
                  <c:v>-5.9638243966825897</c:v>
                </c:pt>
                <c:pt idx="128">
                  <c:v>-6.2877566031251533</c:v>
                </c:pt>
                <c:pt idx="129">
                  <c:v>-6.6226019041086488</c:v>
                </c:pt>
                <c:pt idx="130">
                  <c:v>-6.9684160501259171</c:v>
                </c:pt>
                <c:pt idx="131">
                  <c:v>-7.3252448152298015</c:v>
                </c:pt>
                <c:pt idx="132">
                  <c:v>-7.6931241011371014</c:v>
                </c:pt>
                <c:pt idx="133">
                  <c:v>-8.0720800649151698</c:v>
                </c:pt>
                <c:pt idx="134">
                  <c:v>-8.4621292688030678</c:v>
                </c:pt>
                <c:pt idx="135">
                  <c:v>-8.8632788506938311</c:v>
                </c:pt>
                <c:pt idx="136">
                  <c:v>-9.2755267137873716</c:v>
                </c:pt>
                <c:pt idx="137">
                  <c:v>-9.6988617339164023</c:v>
                </c:pt>
                <c:pt idx="138">
                  <c:v>-10.13326398304968</c:v>
                </c:pt>
                <c:pt idx="139">
                  <c:v>-10.578704967486352</c:v>
                </c:pt>
                <c:pt idx="140">
                  <c:v>-11.035147879272245</c:v>
                </c:pt>
                <c:pt idx="141">
                  <c:v>-11.502547859393225</c:v>
                </c:pt>
                <c:pt idx="142">
                  <c:v>-11.98085227132978</c:v>
                </c:pt>
                <c:pt idx="143">
                  <c:v>-12.470000983593287</c:v>
                </c:pt>
                <c:pt idx="144">
                  <c:v>-12.969926659903805</c:v>
                </c:pt>
                <c:pt idx="145">
                  <c:v>-13.480555055713722</c:v>
                </c:pt>
                <c:pt idx="146">
                  <c:v>-14.001805319829487</c:v>
                </c:pt>
                <c:pt idx="147">
                  <c:v>-14.53359029993463</c:v>
                </c:pt>
                <c:pt idx="148">
                  <c:v>-15.075816850870254</c:v>
                </c:pt>
                <c:pt idx="149">
                  <c:v>-15.62838614458505</c:v>
                </c:pt>
                <c:pt idx="150">
                  <c:v>-16.191193980723156</c:v>
                </c:pt>
                <c:pt idx="151">
                  <c:v>-16.764131096876895</c:v>
                </c:pt>
                <c:pt idx="152">
                  <c:v>-17.347083477588981</c:v>
                </c:pt>
                <c:pt idx="153">
                  <c:v>-17.939932661248577</c:v>
                </c:pt>
                <c:pt idx="154">
                  <c:v>-18.542556044083952</c:v>
                </c:pt>
                <c:pt idx="155">
                  <c:v>-19.154827180512683</c:v>
                </c:pt>
                <c:pt idx="156">
                  <c:v>-19.776616079168349</c:v>
                </c:pt>
                <c:pt idx="157">
                  <c:v>-20.407789493979692</c:v>
                </c:pt>
                <c:pt idx="158">
                  <c:v>-21.048211209732955</c:v>
                </c:pt>
                <c:pt idx="159">
                  <c:v>-21.697742321603258</c:v>
                </c:pt>
                <c:pt idx="160">
                  <c:v>-22.356241508193236</c:v>
                </c:pt>
                <c:pt idx="161">
                  <c:v>-23.023565297667915</c:v>
                </c:pt>
                <c:pt idx="162">
                  <c:v>-23.699568326624473</c:v>
                </c:pt>
                <c:pt idx="163">
                  <c:v>-24.384103591382313</c:v>
                </c:pt>
                <c:pt idx="164">
                  <c:v>-25.077022691424631</c:v>
                </c:pt>
                <c:pt idx="165">
                  <c:v>-25.778176064765361</c:v>
                </c:pt>
                <c:pt idx="166">
                  <c:v>-26.487413215056648</c:v>
                </c:pt>
                <c:pt idx="167">
                  <c:v>-27.20458293029121</c:v>
                </c:pt>
                <c:pt idx="168">
                  <c:v>-27.929533492989762</c:v>
                </c:pt>
                <c:pt idx="169">
                  <c:v>-28.662112881799573</c:v>
                </c:pt>
                <c:pt idx="170">
                  <c:v>-29.402168964461097</c:v>
                </c:pt>
                <c:pt idx="171">
                  <c:v>-30.149549682131337</c:v>
                </c:pt>
                <c:pt idx="172">
                  <c:v>-30.904103225079339</c:v>
                </c:pt>
                <c:pt idx="173">
                  <c:v>-31.665678199796815</c:v>
                </c:pt>
                <c:pt idx="174">
                  <c:v>-32.434123787589044</c:v>
                </c:pt>
                <c:pt idx="175">
                  <c:v>-33.209289894735079</c:v>
                </c:pt>
                <c:pt idx="176">
                  <c:v>-33.991027294325178</c:v>
                </c:pt>
                <c:pt idx="177">
                  <c:v>-34.779187759902499</c:v>
                </c:pt>
                <c:pt idx="178">
                  <c:v>-35.573624191051437</c:v>
                </c:pt>
                <c:pt idx="179">
                  <c:v>-36.374190731091645</c:v>
                </c:pt>
                <c:pt idx="180">
                  <c:v>-37.180742877047692</c:v>
                </c:pt>
                <c:pt idx="181">
                  <c:v>-37.993137582077921</c:v>
                </c:pt>
                <c:pt idx="182">
                  <c:v>-38.81123335055463</c:v>
                </c:pt>
                <c:pt idx="183">
                  <c:v>-39.634890325997333</c:v>
                </c:pt>
                <c:pt idx="184">
                  <c:v>-40.46397037206826</c:v>
                </c:pt>
                <c:pt idx="185">
                  <c:v>-41.298337146843906</c:v>
                </c:pt>
                <c:pt idx="186">
                  <c:v>-42.137856170583902</c:v>
                </c:pt>
                <c:pt idx="187">
                  <c:v>-42.982394887219314</c:v>
                </c:pt>
                <c:pt idx="188">
                  <c:v>-43.831822719788235</c:v>
                </c:pt>
                <c:pt idx="189">
                  <c:v>-44.68601112004572</c:v>
                </c:pt>
                <c:pt idx="190">
                  <c:v>-45.544833612477817</c:v>
                </c:pt>
                <c:pt idx="191">
                  <c:v>-46.408165832948811</c:v>
                </c:pt>
                <c:pt idx="192">
                  <c:v>-47.275885562209936</c:v>
                </c:pt>
                <c:pt idx="193">
                  <c:v>-48.147872754497584</c:v>
                </c:pt>
                <c:pt idx="194">
                  <c:v>-49.024009561445226</c:v>
                </c:pt>
                <c:pt idx="195">
                  <c:v>-49.904180351532275</c:v>
                </c:pt>
                <c:pt idx="196">
                  <c:v>-50.788271725289945</c:v>
                </c:pt>
                <c:pt idx="197">
                  <c:v>-51.676172526479064</c:v>
                </c:pt>
                <c:pt idx="198">
                  <c:v>-52.567773849452919</c:v>
                </c:pt>
                <c:pt idx="199">
                  <c:v>-53.462969042912562</c:v>
                </c:pt>
                <c:pt idx="200">
                  <c:v>-54.361653710257443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A3-4E59-A1DE-B42B3F45133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Sheet1!$D$4:$D$204</c:f>
              <c:numCache>
                <c:formatCode>General</c:formatCode>
                <c:ptCount val="2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</c:numCache>
            </c:numRef>
          </c:xVal>
          <c:yVal>
            <c:numRef>
              <c:f>Sheet1!$G$4:$G$204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A3-4E59-A1DE-B42B3F45133A}"/>
            </c:ext>
          </c:extLst>
        </c:ser>
        <c:ser>
          <c:idx val="3"/>
          <c:order val="3"/>
          <c:spPr>
            <a:ln w="762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Sheet1!$D$4:$D$204</c:f>
              <c:numCache>
                <c:formatCode>General</c:formatCode>
                <c:ptCount val="2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</c:numCache>
            </c:numRef>
          </c:xVal>
          <c:yVal>
            <c:numRef>
              <c:f>Sheet1!$H$4:$H$204</c:f>
              <c:numCache>
                <c:formatCode>General</c:formatCode>
                <c:ptCount val="201"/>
                <c:pt idx="0">
                  <c:v>8.3171839370743887E-73</c:v>
                </c:pt>
                <c:pt idx="1">
                  <c:v>3.9424640270367053E-53</c:v>
                </c:pt>
                <c:pt idx="2">
                  <c:v>4.4977129072964079E-43</c:v>
                </c:pt>
                <c:pt idx="3">
                  <c:v>1.3801137395251795E-36</c:v>
                </c:pt>
                <c:pt idx="4">
                  <c:v>6.3298673867029126E-32</c:v>
                </c:pt>
                <c:pt idx="5">
                  <c:v>2.3467542845898798E-28</c:v>
                </c:pt>
                <c:pt idx="6">
                  <c:v>1.6605132466396073E-25</c:v>
                </c:pt>
                <c:pt idx="7">
                  <c:v>3.6706773998644208E-23</c:v>
                </c:pt>
                <c:pt idx="8">
                  <c:v>3.4458887319390134E-21</c:v>
                </c:pt>
                <c:pt idx="9">
                  <c:v>1.6832160757900646E-19</c:v>
                </c:pt>
                <c:pt idx="10">
                  <c:v>4.9252895071534161E-18</c:v>
                </c:pt>
                <c:pt idx="11">
                  <c:v>9.5538047327316982E-17</c:v>
                </c:pt>
                <c:pt idx="12">
                  <c:v>1.3242962973355356E-15</c:v>
                </c:pt>
                <c:pt idx="13">
                  <c:v>1.3887932492841574E-14</c:v>
                </c:pt>
                <c:pt idx="14">
                  <c:v>1.1517572146955993E-13</c:v>
                </c:pt>
                <c:pt idx="15">
                  <c:v>7.8224769884742147E-13</c:v>
                </c:pt>
                <c:pt idx="16">
                  <c:v>4.47480655297559E-12</c:v>
                </c:pt>
                <c:pt idx="17">
                  <c:v>2.205778692220665E-11</c:v>
                </c:pt>
                <c:pt idx="18">
                  <c:v>9.5469500957845865E-11</c:v>
                </c:pt>
                <c:pt idx="19">
                  <c:v>3.6852586465440891E-10</c:v>
                </c:pt>
                <c:pt idx="20">
                  <c:v>1.285494427608E-9</c:v>
                </c:pt>
                <c:pt idx="21">
                  <c:v>4.0972985370049349E-9</c:v>
                </c:pt>
                <c:pt idx="22">
                  <c:v>1.2046742075639565E-8</c:v>
                </c:pt>
                <c:pt idx="23">
                  <c:v>3.2940261557214063E-8</c:v>
                </c:pt>
                <c:pt idx="24">
                  <c:v>8.4359305142097892E-8</c:v>
                </c:pt>
                <c:pt idx="25">
                  <c:v>2.0358833179736367E-7</c:v>
                </c:pt>
                <c:pt idx="26">
                  <c:v>4.6549890045150844E-7</c:v>
                </c:pt>
                <c:pt idx="27">
                  <c:v>1.0131662604365073E-6</c:v>
                </c:pt>
                <c:pt idx="28">
                  <c:v>2.1079012039285531E-6</c:v>
                </c:pt>
                <c:pt idx="29">
                  <c:v>4.2075959211414241E-6</c:v>
                </c:pt>
                <c:pt idx="30">
                  <c:v>8.0846860640951567E-6</c:v>
                </c:pt>
                <c:pt idx="31">
                  <c:v>1.4997438651363072E-5</c:v>
                </c:pt>
                <c:pt idx="32">
                  <c:v>2.6930452585647275E-5</c:v>
                </c:pt>
                <c:pt idx="33">
                  <c:v>4.6921940042747332E-5</c:v>
                </c:pt>
                <c:pt idx="34">
                  <c:v>7.9496272602595932E-5</c:v>
                </c:pt>
                <c:pt idx="35">
                  <c:v>1.3122018012266205E-4</c:v>
                </c:pt>
                <c:pt idx="36">
                  <c:v>2.1139969074909361E-4</c:v>
                </c:pt>
                <c:pt idx="37">
                  <c:v>3.329322824773741E-4</c:v>
                </c:pt>
                <c:pt idx="38">
                  <c:v>5.1332476003237168E-4</c:v>
                </c:pt>
                <c:pt idx="39">
                  <c:v>7.7588215701668317E-4</c:v>
                </c:pt>
                <c:pt idx="40">
                  <c:v>1.1510666729585984E-3</c:v>
                </c:pt>
                <c:pt idx="41">
                  <c:v>1.6780185561340946E-3</c:v>
                </c:pt>
                <c:pt idx="42">
                  <c:v>2.4062232718115371E-3</c:v>
                </c:pt>
                <c:pt idx="43">
                  <c:v>3.3973016310402224E-3</c:v>
                </c:pt>
                <c:pt idx="44">
                  <c:v>4.7268921923017907E-3</c:v>
                </c:pt>
                <c:pt idx="45">
                  <c:v>6.486588570866432E-3</c:v>
                </c:pt>
                <c:pt idx="46">
                  <c:v>8.7858886457789671E-3</c:v>
                </c:pt>
                <c:pt idx="47">
                  <c:v>1.1754108332199333E-2</c:v>
                </c:pt>
                <c:pt idx="48">
                  <c:v>1.5542209805099573E-2</c:v>
                </c:pt>
                <c:pt idx="49">
                  <c:v>2.0324492955161748E-2</c:v>
                </c:pt>
                <c:pt idx="50">
                  <c:v>2.6300099480326584E-2</c:v>
                </c:pt>
                <c:pt idx="51">
                  <c:v>3.3694281335422113E-2</c:v>
                </c:pt>
                <c:pt idx="52">
                  <c:v>4.2759389170792569E-2</c:v>
                </c:pt>
                <c:pt idx="53">
                  <c:v>5.3775541717321559E-2</c:v>
                </c:pt>
                <c:pt idx="54">
                  <c:v>6.7050943596796517E-2</c:v>
                </c:pt>
                <c:pt idx="55">
                  <c:v>8.2921826493557643E-2</c:v>
                </c:pt>
                <c:pt idx="56">
                  <c:v>0.10175199673473367</c:v>
                </c:pt>
                <c:pt idx="57">
                  <c:v>0.1239319808034782</c:v>
                </c:pt>
                <c:pt idx="58">
                  <c:v>0.14987776887011706</c:v>
                </c:pt>
                <c:pt idx="59">
                  <c:v>0.1800291648043707</c:v>
                </c:pt>
                <c:pt idx="60">
                  <c:v>0.21484775908884093</c:v>
                </c:pt>
                <c:pt idx="61">
                  <c:v>0.25481454838317741</c:v>
                </c:pt>
                <c:pt idx="62">
                  <c:v>0.30042723202131311</c:v>
                </c:pt>
                <c:pt idx="63">
                  <c:v>0.35219722133120157</c:v>
                </c:pt>
                <c:pt idx="64">
                  <c:v>0.41064640225905735</c:v>
                </c:pt>
                <c:pt idx="65">
                  <c:v>0.47630369530705657</c:v>
                </c:pt>
                <c:pt idx="66">
                  <c:v>0.54970145924089209</c:v>
                </c:pt>
                <c:pt idx="67">
                  <c:v>0.63137178640899161</c:v>
                </c:pt>
                <c:pt idx="68">
                  <c:v>0.7218427378843647</c:v>
                </c:pt>
                <c:pt idx="69">
                  <c:v>0.82163456606215923</c:v>
                </c:pt>
                <c:pt idx="70">
                  <c:v>0.9312559709079109</c:v>
                </c:pt>
                <c:pt idx="71">
                  <c:v>1.0512004338537575</c:v>
                </c:pt>
                <c:pt idx="72">
                  <c:v>1.1819426704919853</c:v>
                </c:pt>
                <c:pt idx="73">
                  <c:v>1.3239352398309587</c:v>
                </c:pt>
                <c:pt idx="74">
                  <c:v>1.4776053440721426</c:v>
                </c:pt>
                <c:pt idx="75">
                  <c:v>1.6433518487512404</c:v>
                </c:pt>
                <c:pt idx="76">
                  <c:v>1.8215425487678802</c:v>
                </c:pt>
                <c:pt idx="77">
                  <c:v>2.012511701407262</c:v>
                </c:pt>
                <c:pt idx="78">
                  <c:v>2.2165578430242094</c:v>
                </c:pt>
                <c:pt idx="79">
                  <c:v>2.433941901696651</c:v>
                </c:pt>
                <c:pt idx="80">
                  <c:v>2.6648856139317303</c:v>
                </c:pt>
                <c:pt idx="81">
                  <c:v>2.9095702494835001</c:v>
                </c:pt>
                <c:pt idx="82">
                  <c:v>3.1681356445655942</c:v>
                </c:pt>
                <c:pt idx="83">
                  <c:v>3.4406795402522299</c:v>
                </c:pt>
                <c:pt idx="84">
                  <c:v>3.7272572196875942</c:v>
                </c:pt>
                <c:pt idx="85">
                  <c:v>4.0278814348832075</c:v>
                </c:pt>
                <c:pt idx="86">
                  <c:v>4.3425226113888042</c:v>
                </c:pt>
                <c:pt idx="87">
                  <c:v>4.6711093169764322</c:v>
                </c:pt>
                <c:pt idx="88">
                  <c:v>5.0135289786774671</c:v>
                </c:pt>
                <c:pt idx="89">
                  <c:v>5.3696288310497859</c:v>
                </c:pt>
                <c:pt idx="90">
                  <c:v>5.7392170774129667</c:v>
                </c:pt>
                <c:pt idx="91">
                  <c:v>6.1220642449578779</c:v>
                </c:pt>
                <c:pt idx="92">
                  <c:v>6.5179047140920927</c:v>
                </c:pt>
                <c:pt idx="93">
                  <c:v>6.9264384021026419</c:v>
                </c:pt>
                <c:pt idx="94">
                  <c:v>7.34733258117953</c:v>
                </c:pt>
                <c:pt idx="95">
                  <c:v>7.780223811022438</c:v>
                </c:pt>
                <c:pt idx="96">
                  <c:v>8.2247199666247237</c:v>
                </c:pt>
                <c:pt idx="97">
                  <c:v>8.6804023423687227</c:v>
                </c:pt>
                <c:pt idx="98">
                  <c:v>9.1468278142502619</c:v>
                </c:pt>
                <c:pt idx="99">
                  <c:v>9.623531042855916</c:v>
                </c:pt>
                <c:pt idx="100">
                  <c:v>10.110026700620995</c:v>
                </c:pt>
                <c:pt idx="101">
                  <c:v>10.605811707879248</c:v>
                </c:pt>
                <c:pt idx="102">
                  <c:v>11.110367463258333</c:v>
                </c:pt>
                <c:pt idx="103">
                  <c:v>11.62316205505933</c:v>
                </c:pt>
                <c:pt idx="104">
                  <c:v>12.143652441368541</c:v>
                </c:pt>
                <c:pt idx="105">
                  <c:v>12.671286587771666</c:v>
                </c:pt>
                <c:pt idx="106">
                  <c:v>13.205505552660084</c:v>
                </c:pt>
                <c:pt idx="107">
                  <c:v>13.74574551122593</c:v>
                </c:pt>
                <c:pt idx="108">
                  <c:v>14.29143971032679</c:v>
                </c:pt>
                <c:pt idx="109">
                  <c:v>14.842020347454605</c:v>
                </c:pt>
                <c:pt idx="110">
                  <c:v>15.396920368057961</c:v>
                </c:pt>
                <c:pt idx="111">
                  <c:v>15.955575176438588</c:v>
                </c:pt>
                <c:pt idx="112">
                  <c:v>16.517424256365974</c:v>
                </c:pt>
                <c:pt idx="113">
                  <c:v>17.081912698425157</c:v>
                </c:pt>
                <c:pt idx="114">
                  <c:v>17.648492631928743</c:v>
                </c:pt>
                <c:pt idx="115">
                  <c:v>18.216624559985842</c:v>
                </c:pt>
                <c:pt idx="116">
                  <c:v>18.785778597022993</c:v>
                </c:pt>
                <c:pt idx="117">
                  <c:v>19.355435608699082</c:v>
                </c:pt>
                <c:pt idx="118">
                  <c:v>19.925088254744924</c:v>
                </c:pt>
                <c:pt idx="119">
                  <c:v>20.494241935792346</c:v>
                </c:pt>
                <c:pt idx="120">
                  <c:v>21.06241564573525</c:v>
                </c:pt>
                <c:pt idx="121">
                  <c:v>21.629142731591827</c:v>
                </c:pt>
                <c:pt idx="122">
                  <c:v>22.193971563210248</c:v>
                </c:pt>
                <c:pt idx="123">
                  <c:v>22.75646611548822</c:v>
                </c:pt>
                <c:pt idx="124">
                  <c:v>23.316206466053856</c:v>
                </c:pt>
                <c:pt idx="125">
                  <c:v>23.872789211592348</c:v>
                </c:pt>
                <c:pt idx="126">
                  <c:v>24.425827806197631</c:v>
                </c:pt>
                <c:pt idx="127">
                  <c:v>24.974952825283289</c:v>
                </c:pt>
                <c:pt idx="128">
                  <c:v>25.519812158707545</c:v>
                </c:pt>
                <c:pt idx="129">
                  <c:v>26.06007113685483</c:v>
                </c:pt>
                <c:pt idx="130">
                  <c:v>26.595412593472297</c:v>
                </c:pt>
                <c:pt idx="131">
                  <c:v>27.125536869089579</c:v>
                </c:pt>
                <c:pt idx="132">
                  <c:v>27.650161758853429</c:v>
                </c:pt>
                <c:pt idx="133">
                  <c:v>28.169022408589797</c:v>
                </c:pt>
                <c:pt idx="134">
                  <c:v>28.681871162867523</c:v>
                </c:pt>
                <c:pt idx="135">
                  <c:v>29.188477368779289</c:v>
                </c:pt>
                <c:pt idx="136">
                  <c:v>29.688627139083465</c:v>
                </c:pt>
                <c:pt idx="137">
                  <c:v>30.182123078262165</c:v>
                </c:pt>
                <c:pt idx="138">
                  <c:v>30.668783974952767</c:v>
                </c:pt>
                <c:pt idx="139">
                  <c:v>31.148444464099974</c:v>
                </c:pt>
                <c:pt idx="140">
                  <c:v>31.620954662058423</c:v>
                </c:pt>
                <c:pt idx="141">
                  <c:v>32.086179777750452</c:v>
                </c:pt>
                <c:pt idx="142">
                  <c:v>32.543999702853824</c:v>
                </c:pt>
                <c:pt idx="143">
                  <c:v>32.994308583859954</c:v>
                </c:pt>
                <c:pt idx="144">
                  <c:v>33.43701437870449</c:v>
                </c:pt>
                <c:pt idx="145">
                  <c:v>33.872038400534933</c:v>
                </c:pt>
                <c:pt idx="146">
                  <c:v>34.299314851037664</c:v>
                </c:pt>
                <c:pt idx="147">
                  <c:v>34.718790345607601</c:v>
                </c:pt>
                <c:pt idx="148">
                  <c:v>35.130423432504358</c:v>
                </c:pt>
                <c:pt idx="149">
                  <c:v>35.534184108000119</c:v>
                </c:pt>
                <c:pt idx="150">
                  <c:v>35.930053329389978</c:v>
                </c:pt>
                <c:pt idx="151">
                  <c:v>36.318022527600334</c:v>
                </c:pt>
                <c:pt idx="152">
                  <c:v>36.698093121003836</c:v>
                </c:pt>
                <c:pt idx="153">
                  <c:v>37.070276031920173</c:v>
                </c:pt>
                <c:pt idx="154">
                  <c:v>37.434591207161333</c:v>
                </c:pt>
                <c:pt idx="155">
                  <c:v>37.791067143861255</c:v>
                </c:pt>
                <c:pt idx="156">
                  <c:v>38.139740421715871</c:v>
                </c:pt>
                <c:pt idx="157">
                  <c:v>38.480655242649775</c:v>
                </c:pt>
                <c:pt idx="158">
                  <c:v>38.813862978822399</c:v>
                </c:pt>
                <c:pt idx="159">
                  <c:v>39.139421729785624</c:v>
                </c:pt>
                <c:pt idx="160">
                  <c:v>39.457395889510536</c:v>
                </c:pt>
                <c:pt idx="161">
                  <c:v>39.76785572391114</c:v>
                </c:pt>
                <c:pt idx="162">
                  <c:v>40.070876959407173</c:v>
                </c:pt>
                <c:pt idx="163">
                  <c:v>40.366540382988759</c:v>
                </c:pt>
                <c:pt idx="164">
                  <c:v>40.654931454169613</c:v>
                </c:pt>
                <c:pt idx="165">
                  <c:v>40.936139929144474</c:v>
                </c:pt>
                <c:pt idx="166">
                  <c:v>41.21025949740168</c:v>
                </c:pt>
                <c:pt idx="167">
                  <c:v>41.477387430978297</c:v>
                </c:pt>
                <c:pt idx="168">
                  <c:v>41.737624246489858</c:v>
                </c:pt>
                <c:pt idx="169">
                  <c:v>41.991073380012097</c:v>
                </c:pt>
                <c:pt idx="170">
                  <c:v>42.237840874844721</c:v>
                </c:pt>
                <c:pt idx="171">
                  <c:v>42.478035082140821</c:v>
                </c:pt>
                <c:pt idx="172">
                  <c:v>42.711766374346126</c:v>
                </c:pt>
                <c:pt idx="173">
                  <c:v>42.939146871352307</c:v>
                </c:pt>
                <c:pt idx="174">
                  <c:v>43.160290179237819</c:v>
                </c:pt>
                <c:pt idx="175">
                  <c:v>43.375311141435873</c:v>
                </c:pt>
                <c:pt idx="176">
                  <c:v>43.584325602143252</c:v>
                </c:pt>
                <c:pt idx="177">
                  <c:v>43.787450181758842</c:v>
                </c:pt>
                <c:pt idx="178">
                  <c:v>43.984802064118938</c:v>
                </c:pt>
                <c:pt idx="179">
                  <c:v>44.176498795276331</c:v>
                </c:pt>
                <c:pt idx="180">
                  <c:v>44.36265809355551</c:v>
                </c:pt>
                <c:pt idx="181">
                  <c:v>44.54339767059966</c:v>
                </c:pt>
                <c:pt idx="182">
                  <c:v>44.71883506311481</c:v>
                </c:pt>
                <c:pt idx="183">
                  <c:v>44.889087475005752</c:v>
                </c:pt>
                <c:pt idx="184">
                  <c:v>45.054271629589607</c:v>
                </c:pt>
                <c:pt idx="185">
                  <c:v>45.214503631568093</c:v>
                </c:pt>
                <c:pt idx="186">
                  <c:v>45.36989883843269</c:v>
                </c:pt>
                <c:pt idx="187">
                  <c:v>45.520571740976081</c:v>
                </c:pt>
                <c:pt idx="188">
                  <c:v>45.666635852578295</c:v>
                </c:pt>
                <c:pt idx="189">
                  <c:v>45.808203606939145</c:v>
                </c:pt>
                <c:pt idx="190">
                  <c:v>45.945386263925485</c:v>
                </c:pt>
                <c:pt idx="191">
                  <c:v>46.078293823205925</c:v>
                </c:pt>
                <c:pt idx="192">
                  <c:v>46.207034945347729</c:v>
                </c:pt>
                <c:pt idx="193">
                  <c:v>46.331716880052099</c:v>
                </c:pt>
                <c:pt idx="194">
                  <c:v>46.452445401212145</c:v>
                </c:pt>
                <c:pt idx="195">
                  <c:v>46.569324748479019</c:v>
                </c:pt>
                <c:pt idx="196">
                  <c:v>46.682457575028593</c:v>
                </c:pt>
                <c:pt idx="197">
                  <c:v>46.791944901228419</c:v>
                </c:pt>
                <c:pt idx="198">
                  <c:v>46.897886073909021</c:v>
                </c:pt>
                <c:pt idx="199">
                  <c:v>47.000378730951766</c:v>
                </c:pt>
                <c:pt idx="200">
                  <c:v>47.099518770913093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A3-4E59-A1DE-B42B3F451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3706095"/>
        <c:axId val="713704431"/>
      </c:scatterChart>
      <c:valAx>
        <c:axId val="713706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704431"/>
        <c:crosses val="autoZero"/>
        <c:crossBetween val="midCat"/>
      </c:valAx>
      <c:valAx>
        <c:axId val="713704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37060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356483</xdr:colOff>
      <xdr:row>2</xdr:row>
      <xdr:rowOff>152400</xdr:rowOff>
    </xdr:from>
    <xdr:to>
      <xdr:col>18</xdr:col>
      <xdr:colOff>54333</xdr:colOff>
      <xdr:row>17</xdr:row>
      <xdr:rowOff>112643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04"/>
  <sheetViews>
    <sheetView tabSelected="1" zoomScale="115" zoomScaleNormal="115" workbookViewId="0">
      <selection activeCell="B5" sqref="B5"/>
    </sheetView>
  </sheetViews>
  <sheetFormatPr defaultRowHeight="15" x14ac:dyDescent="0.25"/>
  <cols>
    <col min="1" max="1" width="12.7109375" bestFit="1" customWidth="1"/>
    <col min="5" max="5" width="12.28515625" bestFit="1" customWidth="1"/>
    <col min="6" max="6" width="13" bestFit="1" customWidth="1"/>
    <col min="9" max="9" width="11.5703125" bestFit="1" customWidth="1"/>
    <col min="11" max="11" width="12.28515625" bestFit="1" customWidth="1"/>
  </cols>
  <sheetData>
    <row r="1" spans="1:10" x14ac:dyDescent="0.25">
      <c r="A1" s="5" t="s">
        <v>12</v>
      </c>
      <c r="B1" s="2">
        <f>MAX(0,B6-B7*EXP(-B9*B10))</f>
        <v>1.4735007579656383</v>
      </c>
    </row>
    <row r="2" spans="1:10" ht="15.75" thickBot="1" x14ac:dyDescent="0.3">
      <c r="A2" s="6" t="s">
        <v>11</v>
      </c>
      <c r="B2" s="3">
        <f>B4-B1</f>
        <v>12.079805061885082</v>
      </c>
      <c r="D2" t="s">
        <v>1</v>
      </c>
      <c r="E2">
        <v>100</v>
      </c>
      <c r="F2">
        <v>150</v>
      </c>
      <c r="G2">
        <v>100</v>
      </c>
    </row>
    <row r="3" spans="1:10" ht="15.75" thickBot="1" x14ac:dyDescent="0.3">
      <c r="B3" s="1"/>
      <c r="D3" t="s">
        <v>0</v>
      </c>
      <c r="E3" t="s">
        <v>13</v>
      </c>
      <c r="F3" t="s">
        <v>14</v>
      </c>
      <c r="H3" t="s">
        <v>15</v>
      </c>
    </row>
    <row r="4" spans="1:10" ht="15.75" thickBot="1" x14ac:dyDescent="0.3">
      <c r="A4" s="4" t="s">
        <v>9</v>
      </c>
      <c r="B4" s="15">
        <f>BS_Call(B6,B7,B8,B9,B10)</f>
        <v>13.553305819850721</v>
      </c>
      <c r="D4">
        <v>1</v>
      </c>
      <c r="E4">
        <f>BS_Call(D4,$E$2,$B$8,$B$9,$B$10)</f>
        <v>8.3171839370757435E-73</v>
      </c>
      <c r="F4">
        <f>-BS_Call(D4,$F$2,$B$8,$B$9,$B$10)</f>
        <v>-1.3541814961305276E-85</v>
      </c>
      <c r="H4">
        <f>G4+F4+E4</f>
        <v>8.3171839370743887E-73</v>
      </c>
      <c r="I4" s="4" t="s">
        <v>10</v>
      </c>
      <c r="J4" s="14">
        <f>BS_Put(J6,J7,J8,J9,J10)</f>
        <v>13.553305819850721</v>
      </c>
    </row>
    <row r="5" spans="1:10" ht="15.75" thickBot="1" x14ac:dyDescent="0.3">
      <c r="D5">
        <f>D4+1</f>
        <v>2</v>
      </c>
      <c r="E5">
        <f t="shared" ref="E5:E68" si="0">BS_Call(D5,$E$2,$B$8,$B$9,$B$10)</f>
        <v>3.9424640270806552E-53</v>
      </c>
      <c r="F5">
        <f t="shared" ref="F5:F68" si="1">-BS_Call(D5,$F$2,$B$8,$B$9,$B$10)</f>
        <v>-4.3949891873270624E-64</v>
      </c>
      <c r="H5">
        <f t="shared" ref="H5:H68" si="2">G5+F5+E5</f>
        <v>3.9424640270367053E-53</v>
      </c>
    </row>
    <row r="6" spans="1:10" x14ac:dyDescent="0.25">
      <c r="A6" s="7" t="s">
        <v>0</v>
      </c>
      <c r="B6" s="10">
        <v>125.94</v>
      </c>
      <c r="D6">
        <f t="shared" ref="D6:D69" si="3">D5+1</f>
        <v>3</v>
      </c>
      <c r="E6">
        <f t="shared" si="0"/>
        <v>4.4977129078877771E-43</v>
      </c>
      <c r="F6">
        <f t="shared" si="1"/>
        <v>-5.9136960406209828E-53</v>
      </c>
      <c r="H6">
        <f t="shared" si="2"/>
        <v>4.4977129072964079E-43</v>
      </c>
      <c r="I6" s="7" t="s">
        <v>0</v>
      </c>
      <c r="J6" s="10">
        <v>125.94</v>
      </c>
    </row>
    <row r="7" spans="1:10" x14ac:dyDescent="0.25">
      <c r="A7" s="8" t="s">
        <v>1</v>
      </c>
      <c r="B7" s="11">
        <v>125</v>
      </c>
      <c r="D7">
        <f t="shared" si="3"/>
        <v>4</v>
      </c>
      <c r="E7">
        <f t="shared" si="0"/>
        <v>1.3801137405672562E-36</v>
      </c>
      <c r="F7">
        <f t="shared" si="1"/>
        <v>-1.0420767867626589E-45</v>
      </c>
      <c r="H7">
        <f t="shared" si="2"/>
        <v>1.3801137395251795E-36</v>
      </c>
      <c r="I7" s="8" t="s">
        <v>1</v>
      </c>
      <c r="J7" s="11">
        <v>125</v>
      </c>
    </row>
    <row r="8" spans="1:10" x14ac:dyDescent="0.25">
      <c r="A8" s="8" t="s">
        <v>2</v>
      </c>
      <c r="B8" s="16">
        <v>0.83</v>
      </c>
      <c r="D8">
        <f t="shared" si="3"/>
        <v>5</v>
      </c>
      <c r="E8">
        <f t="shared" si="0"/>
        <v>6.3298674052079445E-32</v>
      </c>
      <c r="F8">
        <f t="shared" si="1"/>
        <v>-1.8505031422352263E-40</v>
      </c>
      <c r="H8">
        <f t="shared" si="2"/>
        <v>6.3298673867029126E-32</v>
      </c>
      <c r="I8" s="8" t="s">
        <v>2</v>
      </c>
      <c r="J8" s="16">
        <v>0.83</v>
      </c>
    </row>
    <row r="9" spans="1:10" x14ac:dyDescent="0.25">
      <c r="A9" s="8" t="s">
        <v>3</v>
      </c>
      <c r="B9" s="12">
        <v>4.4600000000000001E-2</v>
      </c>
      <c r="D9">
        <f t="shared" si="3"/>
        <v>6</v>
      </c>
      <c r="E9">
        <f t="shared" si="0"/>
        <v>2.3467543052915858E-28</v>
      </c>
      <c r="F9">
        <f t="shared" si="1"/>
        <v>-2.0701706108508789E-36</v>
      </c>
      <c r="H9">
        <f t="shared" si="2"/>
        <v>2.3467542845898798E-28</v>
      </c>
      <c r="I9" s="8" t="s">
        <v>3</v>
      </c>
      <c r="J9" s="12">
        <v>4.4600000000000001E-2</v>
      </c>
    </row>
    <row r="10" spans="1:10" ht="15.75" thickBot="1" x14ac:dyDescent="0.3">
      <c r="A10" s="9" t="s">
        <v>4</v>
      </c>
      <c r="B10" s="13">
        <f>0.0959</f>
        <v>9.5899999999999999E-2</v>
      </c>
      <c r="D10">
        <f t="shared" si="3"/>
        <v>7</v>
      </c>
      <c r="E10">
        <f t="shared" si="0"/>
        <v>1.6605132838548985E-25</v>
      </c>
      <c r="F10">
        <f t="shared" si="1"/>
        <v>-3.7215291109665662E-33</v>
      </c>
      <c r="H10">
        <f t="shared" si="2"/>
        <v>1.6605132466396073E-25</v>
      </c>
      <c r="I10" s="9" t="s">
        <v>4</v>
      </c>
      <c r="J10" s="13">
        <f>0.0959</f>
        <v>9.5899999999999999E-2</v>
      </c>
    </row>
    <row r="11" spans="1:10" x14ac:dyDescent="0.25">
      <c r="D11">
        <f t="shared" si="3"/>
        <v>8</v>
      </c>
      <c r="E11">
        <f t="shared" si="0"/>
        <v>3.6706775841506234E-23</v>
      </c>
      <c r="F11">
        <f t="shared" si="1"/>
        <v>-1.8428620233734884E-30</v>
      </c>
      <c r="H11">
        <f t="shared" si="2"/>
        <v>3.6706773998644208E-23</v>
      </c>
    </row>
    <row r="12" spans="1:10" ht="15.75" thickBot="1" x14ac:dyDescent="0.3">
      <c r="D12">
        <f t="shared" si="3"/>
        <v>9</v>
      </c>
      <c r="E12">
        <f t="shared" si="0"/>
        <v>3.445889083952159E-21</v>
      </c>
      <c r="F12">
        <f t="shared" si="1"/>
        <v>-3.52013145793735E-28</v>
      </c>
      <c r="H12">
        <f t="shared" si="2"/>
        <v>3.4458887319390134E-21</v>
      </c>
    </row>
    <row r="13" spans="1:10" x14ac:dyDescent="0.25">
      <c r="A13" s="7" t="s">
        <v>5</v>
      </c>
      <c r="B13" s="10">
        <f>(LN(B6/B7)+(B9+B8^2/2)*B10)/(B8*SQRT(B10))</f>
        <v>0.17430413366084443</v>
      </c>
      <c r="C13" s="1"/>
      <c r="D13">
        <f t="shared" si="3"/>
        <v>10</v>
      </c>
      <c r="E13">
        <f t="shared" si="0"/>
        <v>1.6832164001068464E-19</v>
      </c>
      <c r="F13">
        <f t="shared" si="1"/>
        <v>-3.2431678192716854E-26</v>
      </c>
      <c r="H13">
        <f t="shared" si="2"/>
        <v>1.6832160757900646E-19</v>
      </c>
      <c r="I13" s="7" t="s">
        <v>5</v>
      </c>
      <c r="J13" s="10">
        <f>(LN(J6/J7)+(J9+J8^2/2)*J10)/(J8*SQRT(J10))</f>
        <v>0.17430413366084443</v>
      </c>
    </row>
    <row r="14" spans="1:10" ht="15.75" thickBot="1" x14ac:dyDescent="0.3">
      <c r="A14" s="9" t="s">
        <v>7</v>
      </c>
      <c r="B14" s="13">
        <f>NORMSDIST(B13)</f>
        <v>0.56918677460878864</v>
      </c>
      <c r="D14">
        <f t="shared" si="3"/>
        <v>11</v>
      </c>
      <c r="E14">
        <f t="shared" si="0"/>
        <v>4.9252911905324089E-18</v>
      </c>
      <c r="F14">
        <f t="shared" si="1"/>
        <v>-1.683378993112066E-24</v>
      </c>
      <c r="H14">
        <f t="shared" si="2"/>
        <v>4.9252895071534161E-18</v>
      </c>
      <c r="I14" s="9" t="s">
        <v>7</v>
      </c>
      <c r="J14" s="13">
        <f>NORMSDIST(J13)</f>
        <v>0.56918677460878864</v>
      </c>
    </row>
    <row r="15" spans="1:10" ht="15.75" thickBot="1" x14ac:dyDescent="0.3">
      <c r="D15">
        <f t="shared" si="3"/>
        <v>12</v>
      </c>
      <c r="E15">
        <f t="shared" si="0"/>
        <v>9.5538102387480743E-17</v>
      </c>
      <c r="F15">
        <f t="shared" si="1"/>
        <v>-5.5060163762259539E-23</v>
      </c>
      <c r="H15">
        <f t="shared" si="2"/>
        <v>9.5538047327316982E-17</v>
      </c>
    </row>
    <row r="16" spans="1:10" x14ac:dyDescent="0.25">
      <c r="A16" s="7" t="s">
        <v>6</v>
      </c>
      <c r="B16" s="10">
        <f>B13-B8*SQRT(B10)</f>
        <v>-8.2727984954709149E-2</v>
      </c>
      <c r="C16" s="1"/>
      <c r="D16">
        <f t="shared" si="3"/>
        <v>13</v>
      </c>
      <c r="E16">
        <f t="shared" si="0"/>
        <v>1.3242975306448736E-15</v>
      </c>
      <c r="F16">
        <f t="shared" si="1"/>
        <v>-1.2333093380082564E-21</v>
      </c>
      <c r="H16">
        <f t="shared" si="2"/>
        <v>1.3242962973355356E-15</v>
      </c>
      <c r="I16" s="7" t="s">
        <v>6</v>
      </c>
      <c r="J16" s="10">
        <f>J13-J8*SQRT(J10)</f>
        <v>-8.2727984954709149E-2</v>
      </c>
    </row>
    <row r="17" spans="1:10" ht="15.75" thickBot="1" x14ac:dyDescent="0.3">
      <c r="A17" s="9" t="s">
        <v>8</v>
      </c>
      <c r="B17" s="13">
        <f>NORMSDIST(B16)</f>
        <v>0.46703391618126788</v>
      </c>
      <c r="C17" s="1"/>
      <c r="D17">
        <f t="shared" si="3"/>
        <v>14</v>
      </c>
      <c r="E17">
        <f t="shared" si="0"/>
        <v>1.3887952648819308E-14</v>
      </c>
      <c r="F17">
        <f t="shared" si="1"/>
        <v>-2.0155977733529662E-20</v>
      </c>
      <c r="H17">
        <f t="shared" si="2"/>
        <v>1.3887932492841574E-14</v>
      </c>
      <c r="I17" s="9" t="s">
        <v>8</v>
      </c>
      <c r="J17" s="13">
        <f>NORMSDIST(J16)</f>
        <v>0.46703391618126788</v>
      </c>
    </row>
    <row r="18" spans="1:10" x14ac:dyDescent="0.25">
      <c r="D18">
        <f t="shared" si="3"/>
        <v>15</v>
      </c>
      <c r="E18">
        <f t="shared" si="0"/>
        <v>1.1517597395201994E-13</v>
      </c>
      <c r="F18">
        <f t="shared" si="1"/>
        <v>-2.5248246001602657E-19</v>
      </c>
      <c r="H18">
        <f t="shared" si="2"/>
        <v>1.1517572146955993E-13</v>
      </c>
    </row>
    <row r="19" spans="1:10" x14ac:dyDescent="0.25">
      <c r="D19">
        <f t="shared" si="3"/>
        <v>16</v>
      </c>
      <c r="E19">
        <f t="shared" si="0"/>
        <v>7.8225021938326144E-13</v>
      </c>
      <c r="F19">
        <f t="shared" si="1"/>
        <v>-2.5205358399723539E-18</v>
      </c>
      <c r="H19">
        <f t="shared" si="2"/>
        <v>7.8224769884742147E-13</v>
      </c>
    </row>
    <row r="20" spans="1:10" x14ac:dyDescent="0.25">
      <c r="D20">
        <f t="shared" si="3"/>
        <v>17</v>
      </c>
      <c r="E20">
        <f t="shared" si="0"/>
        <v>4.4748272451615603E-12</v>
      </c>
      <c r="F20">
        <f t="shared" si="1"/>
        <v>-2.069218597068284E-17</v>
      </c>
      <c r="H20">
        <f t="shared" si="2"/>
        <v>4.47480655297559E-12</v>
      </c>
    </row>
    <row r="21" spans="1:10" x14ac:dyDescent="0.25">
      <c r="D21">
        <f t="shared" si="3"/>
        <v>18</v>
      </c>
      <c r="E21">
        <f t="shared" si="0"/>
        <v>2.2057930229360233E-11</v>
      </c>
      <c r="F21">
        <f t="shared" si="1"/>
        <v>-1.4330715358122111E-16</v>
      </c>
      <c r="H21">
        <f t="shared" si="2"/>
        <v>2.205778692220665E-11</v>
      </c>
    </row>
    <row r="22" spans="1:10" x14ac:dyDescent="0.25">
      <c r="D22">
        <f t="shared" si="3"/>
        <v>19</v>
      </c>
      <c r="E22">
        <f t="shared" si="0"/>
        <v>9.5470356078171107E-11</v>
      </c>
      <c r="F22">
        <f t="shared" si="1"/>
        <v>-8.5512032524371337E-16</v>
      </c>
      <c r="H22">
        <f t="shared" si="2"/>
        <v>9.5469500957845865E-11</v>
      </c>
    </row>
    <row r="23" spans="1:10" x14ac:dyDescent="0.25">
      <c r="D23">
        <f t="shared" si="3"/>
        <v>20</v>
      </c>
      <c r="E23">
        <f t="shared" si="0"/>
        <v>3.6853033879400379E-10</v>
      </c>
      <c r="F23">
        <f t="shared" si="1"/>
        <v>-4.4741395948798555E-15</v>
      </c>
      <c r="H23">
        <f t="shared" si="2"/>
        <v>3.6852586465440891E-10</v>
      </c>
    </row>
    <row r="24" spans="1:10" x14ac:dyDescent="0.25">
      <c r="D24">
        <f t="shared" si="3"/>
        <v>21</v>
      </c>
      <c r="E24">
        <f t="shared" si="0"/>
        <v>1.2855152595369731E-9</v>
      </c>
      <c r="F24">
        <f t="shared" si="1"/>
        <v>-2.0831928973229012E-14</v>
      </c>
      <c r="H24">
        <f t="shared" si="2"/>
        <v>1.285494427608E-9</v>
      </c>
    </row>
    <row r="25" spans="1:10" x14ac:dyDescent="0.25">
      <c r="D25">
        <f t="shared" si="3"/>
        <v>22</v>
      </c>
      <c r="E25">
        <f t="shared" si="0"/>
        <v>4.0973859406678013E-9</v>
      </c>
      <c r="F25">
        <f t="shared" si="1"/>
        <v>-8.7403662866274914E-14</v>
      </c>
      <c r="H25">
        <f t="shared" si="2"/>
        <v>4.0972985370049349E-9</v>
      </c>
    </row>
    <row r="26" spans="1:10" x14ac:dyDescent="0.25">
      <c r="D26">
        <f t="shared" si="3"/>
        <v>23</v>
      </c>
      <c r="E26">
        <f t="shared" si="0"/>
        <v>1.2047076088586927E-8</v>
      </c>
      <c r="F26">
        <f t="shared" si="1"/>
        <v>-3.340129473622327E-13</v>
      </c>
      <c r="H26">
        <f t="shared" si="2"/>
        <v>1.2046742075639565E-8</v>
      </c>
    </row>
    <row r="27" spans="1:10" x14ac:dyDescent="0.25">
      <c r="D27">
        <f t="shared" si="3"/>
        <v>24</v>
      </c>
      <c r="E27">
        <f t="shared" si="0"/>
        <v>3.2941434932543136E-8</v>
      </c>
      <c r="F27">
        <f t="shared" si="1"/>
        <v>-1.1733753290748954E-12</v>
      </c>
      <c r="H27">
        <f t="shared" si="2"/>
        <v>3.2940261557214063E-8</v>
      </c>
    </row>
    <row r="28" spans="1:10" x14ac:dyDescent="0.25">
      <c r="D28">
        <f t="shared" si="3"/>
        <v>25</v>
      </c>
      <c r="E28">
        <f t="shared" si="0"/>
        <v>8.4363124779819876E-8</v>
      </c>
      <c r="F28">
        <f t="shared" si="1"/>
        <v>-3.8196377219835271E-12</v>
      </c>
      <c r="H28">
        <f t="shared" si="2"/>
        <v>8.4359305142097892E-8</v>
      </c>
    </row>
    <row r="29" spans="1:10" x14ac:dyDescent="0.25">
      <c r="D29">
        <f t="shared" si="3"/>
        <v>26</v>
      </c>
      <c r="E29">
        <f t="shared" si="0"/>
        <v>2.035999341143122E-7</v>
      </c>
      <c r="F29">
        <f t="shared" si="1"/>
        <v>-1.160231694854208E-11</v>
      </c>
      <c r="H29">
        <f t="shared" si="2"/>
        <v>2.0358833179736367E-7</v>
      </c>
    </row>
    <row r="30" spans="1:10" x14ac:dyDescent="0.25">
      <c r="D30">
        <f t="shared" si="3"/>
        <v>27</v>
      </c>
      <c r="E30">
        <f t="shared" si="0"/>
        <v>4.655319873468525E-7</v>
      </c>
      <c r="F30">
        <f t="shared" si="1"/>
        <v>-3.3086895344040298E-11</v>
      </c>
      <c r="H30">
        <f t="shared" si="2"/>
        <v>4.6549890045150844E-7</v>
      </c>
    </row>
    <row r="31" spans="1:10" x14ac:dyDescent="0.25">
      <c r="D31">
        <f t="shared" si="3"/>
        <v>28</v>
      </c>
      <c r="E31">
        <f t="shared" si="0"/>
        <v>1.013255322138786E-6</v>
      </c>
      <c r="F31">
        <f t="shared" si="1"/>
        <v>-8.9061702278551948E-11</v>
      </c>
      <c r="H31">
        <f t="shared" si="2"/>
        <v>1.0131662604365073E-6</v>
      </c>
    </row>
    <row r="32" spans="1:10" x14ac:dyDescent="0.25">
      <c r="D32">
        <f t="shared" si="3"/>
        <v>29</v>
      </c>
      <c r="E32">
        <f t="shared" si="0"/>
        <v>2.1081285646126514E-6</v>
      </c>
      <c r="F32">
        <f t="shared" si="1"/>
        <v>-2.2736068409839751E-10</v>
      </c>
      <c r="H32">
        <f t="shared" si="2"/>
        <v>2.1079012039285531E-6</v>
      </c>
    </row>
    <row r="33" spans="4:8" x14ac:dyDescent="0.25">
      <c r="D33">
        <f t="shared" si="3"/>
        <v>30</v>
      </c>
      <c r="E33">
        <f t="shared" si="0"/>
        <v>4.2081487166496155E-6</v>
      </c>
      <c r="F33">
        <f t="shared" si="1"/>
        <v>-5.5279550819100651E-10</v>
      </c>
      <c r="H33">
        <f t="shared" si="2"/>
        <v>4.2075959211414241E-6</v>
      </c>
    </row>
    <row r="34" spans="4:8" x14ac:dyDescent="0.25">
      <c r="D34">
        <f t="shared" si="3"/>
        <v>31</v>
      </c>
      <c r="E34">
        <f t="shared" si="0"/>
        <v>8.0859709826276228E-6</v>
      </c>
      <c r="F34">
        <f t="shared" si="1"/>
        <v>-1.2849185324657175E-9</v>
      </c>
      <c r="H34">
        <f t="shared" si="2"/>
        <v>8.0846860640951567E-6</v>
      </c>
    </row>
    <row r="35" spans="4:8" x14ac:dyDescent="0.25">
      <c r="D35">
        <f t="shared" si="3"/>
        <v>32</v>
      </c>
      <c r="E35">
        <f t="shared" si="0"/>
        <v>1.5000303584369109E-5</v>
      </c>
      <c r="F35">
        <f t="shared" si="1"/>
        <v>-2.8649330060372816E-9</v>
      </c>
      <c r="H35">
        <f t="shared" si="2"/>
        <v>1.4997438651363072E-5</v>
      </c>
    </row>
    <row r="36" spans="4:8" x14ac:dyDescent="0.25">
      <c r="D36">
        <f t="shared" si="3"/>
        <v>33</v>
      </c>
      <c r="E36">
        <f t="shared" si="0"/>
        <v>2.6936598664558276E-5</v>
      </c>
      <c r="F36">
        <f t="shared" si="1"/>
        <v>-6.1460789110016953E-9</v>
      </c>
      <c r="H36">
        <f t="shared" si="2"/>
        <v>2.6930452585647275E-5</v>
      </c>
    </row>
    <row r="37" spans="4:8" x14ac:dyDescent="0.25">
      <c r="D37">
        <f t="shared" si="3"/>
        <v>34</v>
      </c>
      <c r="E37">
        <f t="shared" si="0"/>
        <v>4.6934660821392827E-5</v>
      </c>
      <c r="F37">
        <f t="shared" si="1"/>
        <v>-1.2720778645496268E-8</v>
      </c>
      <c r="H37">
        <f t="shared" si="2"/>
        <v>4.6921940042747332E-5</v>
      </c>
    </row>
    <row r="38" spans="4:8" x14ac:dyDescent="0.25">
      <c r="D38">
        <f t="shared" si="3"/>
        <v>35</v>
      </c>
      <c r="E38">
        <f t="shared" si="0"/>
        <v>7.9521737063866036E-5</v>
      </c>
      <c r="F38">
        <f t="shared" si="1"/>
        <v>-2.5464461270108166E-8</v>
      </c>
      <c r="H38">
        <f t="shared" si="2"/>
        <v>7.9496272602595932E-5</v>
      </c>
    </row>
    <row r="39" spans="4:8" x14ac:dyDescent="0.25">
      <c r="D39">
        <f t="shared" si="3"/>
        <v>36</v>
      </c>
      <c r="E39">
        <f t="shared" si="0"/>
        <v>1.3126959227506086E-4</v>
      </c>
      <c r="F39">
        <f t="shared" si="1"/>
        <v>-4.9412152398814811E-8</v>
      </c>
      <c r="H39">
        <f t="shared" si="2"/>
        <v>1.3122018012266205E-4</v>
      </c>
    </row>
    <row r="40" spans="4:8" x14ac:dyDescent="0.25">
      <c r="D40">
        <f t="shared" si="3"/>
        <v>37</v>
      </c>
      <c r="E40">
        <f t="shared" si="0"/>
        <v>2.1149282221382282E-4</v>
      </c>
      <c r="F40">
        <f t="shared" si="1"/>
        <v>-9.313146472920241E-8</v>
      </c>
      <c r="H40">
        <f t="shared" si="2"/>
        <v>2.1139969074909361E-4</v>
      </c>
    </row>
    <row r="41" spans="4:8" x14ac:dyDescent="0.25">
      <c r="D41">
        <f t="shared" si="3"/>
        <v>38</v>
      </c>
      <c r="E41">
        <f t="shared" si="0"/>
        <v>3.3310309869949688E-4</v>
      </c>
      <c r="F41">
        <f t="shared" si="1"/>
        <v>-1.7081622212279934E-7</v>
      </c>
      <c r="H41">
        <f t="shared" si="2"/>
        <v>3.329322824773741E-4</v>
      </c>
    </row>
    <row r="42" spans="4:8" x14ac:dyDescent="0.25">
      <c r="D42">
        <f t="shared" si="3"/>
        <v>39</v>
      </c>
      <c r="E42">
        <f t="shared" si="0"/>
        <v>5.1363015993354313E-4</v>
      </c>
      <c r="F42">
        <f t="shared" si="1"/>
        <v>-3.0539990117146745E-7</v>
      </c>
      <c r="H42">
        <f t="shared" si="2"/>
        <v>5.1332476003237168E-4</v>
      </c>
    </row>
    <row r="43" spans="4:8" x14ac:dyDescent="0.25">
      <c r="D43">
        <f t="shared" si="3"/>
        <v>40</v>
      </c>
      <c r="E43">
        <f t="shared" si="0"/>
        <v>7.7641523512735934E-4</v>
      </c>
      <c r="F43">
        <f t="shared" si="1"/>
        <v>-5.3307811067617246E-7</v>
      </c>
      <c r="H43">
        <f t="shared" si="2"/>
        <v>7.7588215701668317E-4</v>
      </c>
    </row>
    <row r="44" spans="4:8" x14ac:dyDescent="0.25">
      <c r="D44">
        <f t="shared" si="3"/>
        <v>41</v>
      </c>
      <c r="E44">
        <f t="shared" si="0"/>
        <v>1.1519764073750043E-3</v>
      </c>
      <c r="F44">
        <f t="shared" si="1"/>
        <v>-9.097344164058036E-7</v>
      </c>
      <c r="H44">
        <f t="shared" si="2"/>
        <v>1.1510666729585984E-3</v>
      </c>
    </row>
    <row r="45" spans="4:8" x14ac:dyDescent="0.25">
      <c r="D45">
        <f t="shared" si="3"/>
        <v>42</v>
      </c>
      <c r="E45">
        <f t="shared" si="0"/>
        <v>1.6795384391173028E-3</v>
      </c>
      <c r="F45">
        <f t="shared" si="1"/>
        <v>-1.5198829832081739E-6</v>
      </c>
      <c r="H45">
        <f t="shared" si="2"/>
        <v>1.6780185561340946E-3</v>
      </c>
    </row>
    <row r="46" spans="4:8" x14ac:dyDescent="0.25">
      <c r="D46">
        <f t="shared" si="3"/>
        <v>43</v>
      </c>
      <c r="E46">
        <f t="shared" si="0"/>
        <v>2.4087121445249826E-3</v>
      </c>
      <c r="F46">
        <f t="shared" si="1"/>
        <v>-2.4888727134454424E-6</v>
      </c>
      <c r="H46">
        <f t="shared" si="2"/>
        <v>2.4062232718115371E-3</v>
      </c>
    </row>
    <row r="47" spans="4:8" x14ac:dyDescent="0.25">
      <c r="D47">
        <f t="shared" si="3"/>
        <v>44</v>
      </c>
      <c r="E47">
        <f t="shared" si="0"/>
        <v>3.4013008686874652E-3</v>
      </c>
      <c r="F47">
        <f t="shared" si="1"/>
        <v>-3.9992376472425966E-6</v>
      </c>
      <c r="H47">
        <f t="shared" si="2"/>
        <v>3.3973016310402224E-3</v>
      </c>
    </row>
    <row r="48" spans="4:8" x14ac:dyDescent="0.25">
      <c r="D48">
        <f t="shared" si="3"/>
        <v>45</v>
      </c>
      <c r="E48">
        <f t="shared" si="0"/>
        <v>4.7332044153767655E-3</v>
      </c>
      <c r="F48">
        <f t="shared" si="1"/>
        <v>-6.31222307497443E-6</v>
      </c>
      <c r="H48">
        <f t="shared" si="2"/>
        <v>4.7268921923017907E-3</v>
      </c>
    </row>
    <row r="49" spans="4:8" x14ac:dyDescent="0.25">
      <c r="D49">
        <f t="shared" si="3"/>
        <v>46</v>
      </c>
      <c r="E49">
        <f t="shared" si="0"/>
        <v>6.496384231648944E-3</v>
      </c>
      <c r="F49">
        <f t="shared" si="1"/>
        <v>-9.7956607825123087E-6</v>
      </c>
      <c r="H49">
        <f t="shared" si="2"/>
        <v>6.486588570866432E-3</v>
      </c>
    </row>
    <row r="50" spans="4:8" x14ac:dyDescent="0.25">
      <c r="D50">
        <f t="shared" si="3"/>
        <v>47</v>
      </c>
      <c r="E50">
        <f t="shared" si="0"/>
        <v>8.8008481497025975E-3</v>
      </c>
      <c r="F50">
        <f t="shared" si="1"/>
        <v>-1.4959503923630733E-5</v>
      </c>
      <c r="H50">
        <f t="shared" si="2"/>
        <v>8.7858886457789671E-3</v>
      </c>
    </row>
    <row r="51" spans="4:8" x14ac:dyDescent="0.25">
      <c r="D51">
        <f t="shared" si="3"/>
        <v>48</v>
      </c>
      <c r="E51">
        <f t="shared" si="0"/>
        <v>1.1776608787575887E-2</v>
      </c>
      <c r="F51">
        <f t="shared" si="1"/>
        <v>-2.2500455376553582E-5</v>
      </c>
      <c r="H51">
        <f t="shared" si="2"/>
        <v>1.1754108332199333E-2</v>
      </c>
    </row>
    <row r="52" spans="4:8" x14ac:dyDescent="0.25">
      <c r="D52">
        <f t="shared" si="3"/>
        <v>49</v>
      </c>
      <c r="E52">
        <f t="shared" si="0"/>
        <v>1.5575567031035575E-2</v>
      </c>
      <c r="F52">
        <f t="shared" si="1"/>
        <v>-3.3357225936001488E-5</v>
      </c>
      <c r="H52">
        <f t="shared" si="2"/>
        <v>1.5542209805099573E-2</v>
      </c>
    </row>
    <row r="53" spans="4:8" x14ac:dyDescent="0.25">
      <c r="D53">
        <f t="shared" si="3"/>
        <v>50</v>
      </c>
      <c r="E53">
        <f t="shared" si="0"/>
        <v>2.0373270988313985E-2</v>
      </c>
      <c r="F53">
        <f t="shared" si="1"/>
        <v>-4.8778033152238848E-5</v>
      </c>
      <c r="H53">
        <f t="shared" si="2"/>
        <v>2.0324492955161748E-2</v>
      </c>
    </row>
    <row r="54" spans="4:8" x14ac:dyDescent="0.25">
      <c r="D54">
        <f t="shared" si="3"/>
        <v>51</v>
      </c>
      <c r="E54">
        <f t="shared" si="0"/>
        <v>2.6370501471558672E-2</v>
      </c>
      <c r="F54">
        <f t="shared" si="1"/>
        <v>-7.0401991232088915E-5</v>
      </c>
      <c r="H54">
        <f t="shared" si="2"/>
        <v>2.6300099480326584E-2</v>
      </c>
    </row>
    <row r="55" spans="4:8" x14ac:dyDescent="0.25">
      <c r="D55">
        <f t="shared" si="3"/>
        <v>52</v>
      </c>
      <c r="E55">
        <f t="shared" si="0"/>
        <v>3.3794637376458825E-2</v>
      </c>
      <c r="F55">
        <f t="shared" si="1"/>
        <v>-1.0035604103671115E-4</v>
      </c>
      <c r="H55">
        <f t="shared" si="2"/>
        <v>3.3694281335422113E-2</v>
      </c>
    </row>
    <row r="56" spans="4:8" x14ac:dyDescent="0.25">
      <c r="D56">
        <f t="shared" si="3"/>
        <v>53</v>
      </c>
      <c r="E56">
        <f t="shared" si="0"/>
        <v>4.2900758192537636E-2</v>
      </c>
      <c r="F56">
        <f t="shared" si="1"/>
        <v>-1.4136902174506812E-4</v>
      </c>
      <c r="H56">
        <f t="shared" si="2"/>
        <v>4.2759389170792569E-2</v>
      </c>
    </row>
    <row r="57" spans="4:8" x14ac:dyDescent="0.25">
      <c r="D57">
        <f t="shared" si="3"/>
        <v>54</v>
      </c>
      <c r="E57">
        <f t="shared" si="0"/>
        <v>5.3972446105734151E-2</v>
      </c>
      <c r="F57">
        <f t="shared" si="1"/>
        <v>-1.9690438841259107E-4</v>
      </c>
      <c r="H57">
        <f t="shared" si="2"/>
        <v>5.3775541717321559E-2</v>
      </c>
    </row>
    <row r="58" spans="4:8" x14ac:dyDescent="0.25">
      <c r="D58">
        <f t="shared" si="3"/>
        <v>55</v>
      </c>
      <c r="E58">
        <f t="shared" si="0"/>
        <v>6.732225652699364E-2</v>
      </c>
      <c r="F58">
        <f t="shared" si="1"/>
        <v>-2.7131293019712083E-4</v>
      </c>
      <c r="H58">
        <f t="shared" si="2"/>
        <v>6.7050943596796517E-2</v>
      </c>
    </row>
    <row r="59" spans="4:8" x14ac:dyDescent="0.25">
      <c r="D59">
        <f t="shared" si="3"/>
        <v>56</v>
      </c>
      <c r="E59">
        <f t="shared" si="0"/>
        <v>8.3291833135469284E-2</v>
      </c>
      <c r="F59">
        <f t="shared" si="1"/>
        <v>-3.7000664191164101E-4</v>
      </c>
      <c r="H59">
        <f t="shared" si="2"/>
        <v>8.2921826493557643E-2</v>
      </c>
    </row>
    <row r="60" spans="4:8" x14ac:dyDescent="0.25">
      <c r="D60">
        <f t="shared" si="3"/>
        <v>57</v>
      </c>
      <c r="E60">
        <f t="shared" si="0"/>
        <v>0.10225165138278292</v>
      </c>
      <c r="F60">
        <f t="shared" si="1"/>
        <v>-4.9965464804924489E-4</v>
      </c>
      <c r="H60">
        <f t="shared" si="2"/>
        <v>0.10175199673473367</v>
      </c>
    </row>
    <row r="61" spans="4:8" x14ac:dyDescent="0.25">
      <c r="D61">
        <f t="shared" si="3"/>
        <v>58</v>
      </c>
      <c r="E61">
        <f t="shared" si="0"/>
        <v>0.12460038258003725</v>
      </c>
      <c r="F61">
        <f t="shared" si="1"/>
        <v>-6.6840177655905393E-4</v>
      </c>
      <c r="H61">
        <f t="shared" si="2"/>
        <v>0.1239319808034782</v>
      </c>
    </row>
    <row r="62" spans="4:8" x14ac:dyDescent="0.25">
      <c r="D62">
        <f t="shared" si="3"/>
        <v>59</v>
      </c>
      <c r="E62">
        <f t="shared" si="0"/>
        <v>0.15076387890432486</v>
      </c>
      <c r="F62">
        <f t="shared" si="1"/>
        <v>-8.861100342077953E-4</v>
      </c>
      <c r="H62">
        <f t="shared" si="2"/>
        <v>0.14987776887011706</v>
      </c>
    </row>
    <row r="63" spans="4:8" x14ac:dyDescent="0.25">
      <c r="D63">
        <f t="shared" si="3"/>
        <v>60</v>
      </c>
      <c r="E63">
        <f t="shared" si="0"/>
        <v>0.18119378765706173</v>
      </c>
      <c r="F63">
        <f t="shared" si="1"/>
        <v>-1.1646228526910364E-3</v>
      </c>
      <c r="H63">
        <f t="shared" si="2"/>
        <v>0.1800291648043707</v>
      </c>
    </row>
    <row r="64" spans="4:8" x14ac:dyDescent="0.25">
      <c r="D64">
        <f t="shared" si="3"/>
        <v>61</v>
      </c>
      <c r="E64">
        <f t="shared" si="0"/>
        <v>0.21636581065132932</v>
      </c>
      <c r="F64">
        <f t="shared" si="1"/>
        <v>-1.5180515624883886E-3</v>
      </c>
      <c r="H64">
        <f t="shared" si="2"/>
        <v>0.21484775908884093</v>
      </c>
    </row>
    <row r="65" spans="4:8" x14ac:dyDescent="0.25">
      <c r="D65">
        <f t="shared" si="3"/>
        <v>62</v>
      </c>
      <c r="E65">
        <f t="shared" si="0"/>
        <v>0.25677763150180377</v>
      </c>
      <c r="F65">
        <f t="shared" si="1"/>
        <v>-1.9630831186263735E-3</v>
      </c>
      <c r="H65">
        <f t="shared" si="2"/>
        <v>0.25481454838317741</v>
      </c>
    </row>
    <row r="66" spans="4:8" x14ac:dyDescent="0.25">
      <c r="D66">
        <f t="shared" si="3"/>
        <v>63</v>
      </c>
      <c r="E66">
        <f t="shared" si="0"/>
        <v>0.30294653967998908</v>
      </c>
      <c r="F66">
        <f t="shared" si="1"/>
        <v>-2.5193076586759525E-3</v>
      </c>
      <c r="H66">
        <f t="shared" si="2"/>
        <v>0.30042723202131311</v>
      </c>
    </row>
    <row r="67" spans="4:8" x14ac:dyDescent="0.25">
      <c r="D67">
        <f t="shared" si="3"/>
        <v>64</v>
      </c>
      <c r="E67">
        <f t="shared" si="0"/>
        <v>0.3554067853598375</v>
      </c>
      <c r="F67">
        <f t="shared" si="1"/>
        <v>-3.2095640286359528E-3</v>
      </c>
      <c r="H67">
        <f t="shared" si="2"/>
        <v>0.35219722133120157</v>
      </c>
    </row>
    <row r="68" spans="4:8" x14ac:dyDescent="0.25">
      <c r="D68">
        <f t="shared" si="3"/>
        <v>65</v>
      </c>
      <c r="E68">
        <f t="shared" si="0"/>
        <v>0.4147067032362135</v>
      </c>
      <c r="F68">
        <f t="shared" si="1"/>
        <v>-4.0603009771561505E-3</v>
      </c>
      <c r="H68">
        <f t="shared" si="2"/>
        <v>0.41064640225905735</v>
      </c>
    </row>
    <row r="69" spans="4:8" x14ac:dyDescent="0.25">
      <c r="D69">
        <f t="shared" si="3"/>
        <v>66</v>
      </c>
      <c r="E69">
        <f t="shared" ref="E69:E132" si="4">BS_Call(D69,$E$2,$B$8,$B$9,$B$10)</f>
        <v>0.48140564661008778</v>
      </c>
      <c r="F69">
        <f t="shared" ref="F69:F132" si="5">-BS_Call(D69,$F$2,$B$8,$B$9,$B$10)</f>
        <v>-5.1019513030311908E-3</v>
      </c>
      <c r="H69">
        <f t="shared" ref="H69:H132" si="6">G69+F69+E69</f>
        <v>0.47630369530705657</v>
      </c>
    </row>
    <row r="70" spans="4:8" x14ac:dyDescent="0.25">
      <c r="D70">
        <f t="shared" ref="D70:D133" si="7">D69+1</f>
        <v>67</v>
      </c>
      <c r="E70">
        <f t="shared" si="4"/>
        <v>0.55607077509565883</v>
      </c>
      <c r="F70">
        <f t="shared" si="5"/>
        <v>-6.3693158547667578E-3</v>
      </c>
      <c r="H70">
        <f t="shared" si="6"/>
        <v>0.54970145924089209</v>
      </c>
    </row>
    <row r="71" spans="4:8" x14ac:dyDescent="0.25">
      <c r="D71">
        <f t="shared" si="7"/>
        <v>68</v>
      </c>
      <c r="E71">
        <f t="shared" si="4"/>
        <v>0.63927374034227125</v>
      </c>
      <c r="F71">
        <f t="shared" si="5"/>
        <v>-7.9019539332795957E-3</v>
      </c>
      <c r="H71">
        <f t="shared" si="6"/>
        <v>0.63137178640899161</v>
      </c>
    </row>
    <row r="72" spans="4:8" x14ac:dyDescent="0.25">
      <c r="D72">
        <f t="shared" si="7"/>
        <v>69</v>
      </c>
      <c r="E72">
        <f t="shared" si="4"/>
        <v>0.73158731423183809</v>
      </c>
      <c r="F72">
        <f t="shared" si="5"/>
        <v>-9.7445763474734159E-3</v>
      </c>
      <c r="H72">
        <f t="shared" si="6"/>
        <v>0.7218427378843647</v>
      </c>
    </row>
    <row r="73" spans="4:8" x14ac:dyDescent="0.25">
      <c r="D73">
        <f t="shared" si="7"/>
        <v>70</v>
      </c>
      <c r="E73">
        <f t="shared" si="4"/>
        <v>0.83358200318654774</v>
      </c>
      <c r="F73">
        <f t="shared" si="5"/>
        <v>-1.1947437124388505E-2</v>
      </c>
      <c r="H73">
        <f t="shared" si="6"/>
        <v>0.82163456606215923</v>
      </c>
    </row>
    <row r="74" spans="4:8" x14ac:dyDescent="0.25">
      <c r="D74">
        <f t="shared" si="7"/>
        <v>71</v>
      </c>
      <c r="E74">
        <f t="shared" si="4"/>
        <v>0.94582269059428015</v>
      </c>
      <c r="F74">
        <f t="shared" si="5"/>
        <v>-1.45667196863693E-2</v>
      </c>
      <c r="H74">
        <f t="shared" si="6"/>
        <v>0.9312559709079109</v>
      </c>
    </row>
    <row r="75" spans="4:8" x14ac:dyDescent="0.25">
      <c r="D75">
        <f t="shared" si="7"/>
        <v>72</v>
      </c>
      <c r="E75">
        <f t="shared" si="4"/>
        <v>1.0688653470351213</v>
      </c>
      <c r="F75">
        <f t="shared" si="5"/>
        <v>-1.7664913181363817E-2</v>
      </c>
      <c r="H75">
        <f t="shared" si="6"/>
        <v>1.0512004338537575</v>
      </c>
    </row>
    <row r="76" spans="4:8" x14ac:dyDescent="0.25">
      <c r="D76">
        <f t="shared" si="7"/>
        <v>73</v>
      </c>
      <c r="E76">
        <f t="shared" si="4"/>
        <v>1.2032538450836547</v>
      </c>
      <c r="F76">
        <f t="shared" si="5"/>
        <v>-2.1311174591669479E-2</v>
      </c>
      <c r="H76">
        <f t="shared" si="6"/>
        <v>1.1819426704919853</v>
      </c>
    </row>
    <row r="77" spans="4:8" x14ac:dyDescent="0.25">
      <c r="D77">
        <f t="shared" si="7"/>
        <v>74</v>
      </c>
      <c r="E77">
        <f t="shared" si="4"/>
        <v>1.3495169120832706</v>
      </c>
      <c r="F77">
        <f t="shared" si="5"/>
        <v>-2.5581672252311949E-2</v>
      </c>
      <c r="H77">
        <f t="shared" si="6"/>
        <v>1.3239352398309587</v>
      </c>
    </row>
    <row r="78" spans="4:8" x14ac:dyDescent="0.25">
      <c r="D78">
        <f t="shared" si="7"/>
        <v>75</v>
      </c>
      <c r="E78">
        <f t="shared" si="4"/>
        <v>1.5081652505546135</v>
      </c>
      <c r="F78">
        <f t="shared" si="5"/>
        <v>-3.0559906482470922E-2</v>
      </c>
      <c r="H78">
        <f t="shared" si="6"/>
        <v>1.4776053440721426</v>
      </c>
    </row>
    <row r="79" spans="4:8" x14ac:dyDescent="0.25">
      <c r="D79">
        <f t="shared" si="7"/>
        <v>76</v>
      </c>
      <c r="E79">
        <f t="shared" si="4"/>
        <v>1.6796888519214956</v>
      </c>
      <c r="F79">
        <f t="shared" si="5"/>
        <v>-3.6337003170255178E-2</v>
      </c>
      <c r="H79">
        <f t="shared" si="6"/>
        <v>1.6433518487512404</v>
      </c>
    </row>
    <row r="80" spans="4:8" x14ac:dyDescent="0.25">
      <c r="D80">
        <f t="shared" si="7"/>
        <v>77</v>
      </c>
      <c r="E80">
        <f t="shared" si="4"/>
        <v>1.8645545251175442</v>
      </c>
      <c r="F80">
        <f t="shared" si="5"/>
        <v>-4.3011976349663916E-2</v>
      </c>
      <c r="H80">
        <f t="shared" si="6"/>
        <v>1.8215425487678802</v>
      </c>
    </row>
    <row r="81" spans="4:8" x14ac:dyDescent="0.25">
      <c r="D81">
        <f t="shared" si="7"/>
        <v>78</v>
      </c>
      <c r="E81">
        <f t="shared" si="4"/>
        <v>2.0632036574719503</v>
      </c>
      <c r="F81">
        <f t="shared" si="5"/>
        <v>-5.0691956064688237E-2</v>
      </c>
      <c r="H81">
        <f t="shared" si="6"/>
        <v>2.012511701407262</v>
      </c>
    </row>
    <row r="82" spans="4:8" x14ac:dyDescent="0.25">
      <c r="D82">
        <f t="shared" si="7"/>
        <v>79</v>
      </c>
      <c r="E82">
        <f t="shared" si="4"/>
        <v>2.2760502211482159</v>
      </c>
      <c r="F82">
        <f t="shared" si="5"/>
        <v>-5.9492378124006429E-2</v>
      </c>
      <c r="H82">
        <f t="shared" si="6"/>
        <v>2.2165578430242094</v>
      </c>
    </row>
    <row r="83" spans="4:8" x14ac:dyDescent="0.25">
      <c r="D83">
        <f t="shared" si="7"/>
        <v>80</v>
      </c>
      <c r="E83">
        <f t="shared" si="4"/>
        <v>2.5034790344013906</v>
      </c>
      <c r="F83">
        <f t="shared" si="5"/>
        <v>-6.9537132704739602E-2</v>
      </c>
      <c r="H83">
        <f t="shared" si="6"/>
        <v>2.433941901696651</v>
      </c>
    </row>
    <row r="84" spans="4:8" x14ac:dyDescent="0.25">
      <c r="D84">
        <f t="shared" si="7"/>
        <v>81</v>
      </c>
      <c r="E84">
        <f t="shared" si="4"/>
        <v>2.7458442830903316</v>
      </c>
      <c r="F84">
        <f t="shared" si="5"/>
        <v>-8.0958669158601282E-2</v>
      </c>
      <c r="H84">
        <f t="shared" si="6"/>
        <v>2.6648856139317303</v>
      </c>
    </row>
    <row r="85" spans="4:8" x14ac:dyDescent="0.25">
      <c r="D85">
        <f t="shared" si="7"/>
        <v>82</v>
      </c>
      <c r="E85">
        <f t="shared" si="4"/>
        <v>3.0034683042849366</v>
      </c>
      <c r="F85">
        <f t="shared" si="5"/>
        <v>-9.3898054801436759E-2</v>
      </c>
      <c r="H85">
        <f t="shared" si="6"/>
        <v>2.9095702494835001</v>
      </c>
    </row>
    <row r="86" spans="4:8" x14ac:dyDescent="0.25">
      <c r="D86">
        <f t="shared" si="7"/>
        <v>83</v>
      </c>
      <c r="E86">
        <f t="shared" si="4"/>
        <v>3.2766406304858933</v>
      </c>
      <c r="F86">
        <f t="shared" si="5"/>
        <v>-0.10850498592029911</v>
      </c>
      <c r="H86">
        <f t="shared" si="6"/>
        <v>3.1681356445655942</v>
      </c>
    </row>
    <row r="87" spans="4:8" x14ac:dyDescent="0.25">
      <c r="D87">
        <f t="shared" si="7"/>
        <v>84</v>
      </c>
      <c r="E87">
        <f t="shared" si="4"/>
        <v>3.5656172899554335</v>
      </c>
      <c r="F87">
        <f t="shared" si="5"/>
        <v>-0.12493774970320382</v>
      </c>
      <c r="H87">
        <f t="shared" si="6"/>
        <v>3.4406795402522299</v>
      </c>
    </row>
    <row r="88" spans="4:8" x14ac:dyDescent="0.25">
      <c r="D88">
        <f t="shared" si="7"/>
        <v>85</v>
      </c>
      <c r="E88">
        <f t="shared" si="4"/>
        <v>3.8706203559658583</v>
      </c>
      <c r="F88">
        <f t="shared" si="5"/>
        <v>-0.14336313627826391</v>
      </c>
      <c r="H88">
        <f t="shared" si="6"/>
        <v>3.7272572196875942</v>
      </c>
    </row>
    <row r="89" spans="4:8" x14ac:dyDescent="0.25">
      <c r="D89">
        <f t="shared" si="7"/>
        <v>86</v>
      </c>
      <c r="E89">
        <f t="shared" si="4"/>
        <v>4.191837735416776</v>
      </c>
      <c r="F89">
        <f t="shared" si="5"/>
        <v>-0.16395630053356891</v>
      </c>
      <c r="H89">
        <f t="shared" si="6"/>
        <v>4.0278814348832075</v>
      </c>
    </row>
    <row r="90" spans="4:8" x14ac:dyDescent="0.25">
      <c r="D90">
        <f t="shared" si="7"/>
        <v>87</v>
      </c>
      <c r="E90">
        <f t="shared" si="4"/>
        <v>4.5294231852588602</v>
      </c>
      <c r="F90">
        <f t="shared" si="5"/>
        <v>-0.18690057387005576</v>
      </c>
      <c r="H90">
        <f t="shared" si="6"/>
        <v>4.3425226113888042</v>
      </c>
    </row>
    <row r="91" spans="4:8" x14ac:dyDescent="0.25">
      <c r="D91">
        <f t="shared" si="7"/>
        <v>88</v>
      </c>
      <c r="E91">
        <f t="shared" si="4"/>
        <v>4.8834965434865367</v>
      </c>
      <c r="F91">
        <f t="shared" si="5"/>
        <v>-0.21238722651010411</v>
      </c>
      <c r="H91">
        <f t="shared" si="6"/>
        <v>4.6711093169764322</v>
      </c>
    </row>
    <row r="92" spans="4:8" x14ac:dyDescent="0.25">
      <c r="D92">
        <f t="shared" si="7"/>
        <v>89</v>
      </c>
      <c r="E92">
        <f t="shared" si="4"/>
        <v>5.2541441601161019</v>
      </c>
      <c r="F92">
        <f t="shared" si="5"/>
        <v>-0.24061518143863481</v>
      </c>
      <c r="H92">
        <f t="shared" si="6"/>
        <v>5.0135289786774671</v>
      </c>
    </row>
    <row r="93" spans="4:8" x14ac:dyDescent="0.25">
      <c r="D93">
        <f t="shared" si="7"/>
        <v>90</v>
      </c>
      <c r="E93">
        <f t="shared" si="4"/>
        <v>5.6414195125353785</v>
      </c>
      <c r="F93">
        <f t="shared" si="5"/>
        <v>-0.2717906814855926</v>
      </c>
      <c r="H93">
        <f t="shared" si="6"/>
        <v>5.3696288310497859</v>
      </c>
    </row>
    <row r="94" spans="4:8" x14ac:dyDescent="0.25">
      <c r="D94">
        <f t="shared" si="7"/>
        <v>91</v>
      </c>
      <c r="E94">
        <f t="shared" si="4"/>
        <v>6.0453439888770859</v>
      </c>
      <c r="F94">
        <f t="shared" si="5"/>
        <v>-0.30612691146411919</v>
      </c>
      <c r="H94">
        <f t="shared" si="6"/>
        <v>5.7392170774129667</v>
      </c>
    </row>
    <row r="95" spans="4:8" x14ac:dyDescent="0.25">
      <c r="D95">
        <f t="shared" si="7"/>
        <v>92</v>
      </c>
      <c r="E95">
        <f t="shared" si="4"/>
        <v>6.4659078226109372</v>
      </c>
      <c r="F95">
        <f t="shared" si="5"/>
        <v>-0.34384357765305928</v>
      </c>
      <c r="H95">
        <f t="shared" si="6"/>
        <v>6.1220642449578779</v>
      </c>
    </row>
    <row r="96" spans="4:8" x14ac:dyDescent="0.25">
      <c r="D96">
        <f t="shared" si="7"/>
        <v>93</v>
      </c>
      <c r="E96">
        <f t="shared" si="4"/>
        <v>6.9030711613447977</v>
      </c>
      <c r="F96">
        <f t="shared" si="5"/>
        <v>-0.38516644725270499</v>
      </c>
      <c r="H96">
        <f t="shared" si="6"/>
        <v>6.5179047140920927</v>
      </c>
    </row>
    <row r="97" spans="4:8" x14ac:dyDescent="0.25">
      <c r="D97">
        <f t="shared" si="7"/>
        <v>94</v>
      </c>
      <c r="E97">
        <f t="shared" si="4"/>
        <v>7.3567652528481631</v>
      </c>
      <c r="F97">
        <f t="shared" si="5"/>
        <v>-0.43032685074552113</v>
      </c>
      <c r="H97">
        <f t="shared" si="6"/>
        <v>6.9264384021026419</v>
      </c>
    </row>
    <row r="98" spans="4:8" x14ac:dyDescent="0.25">
      <c r="D98">
        <f t="shared" si="7"/>
        <v>95</v>
      </c>
      <c r="E98">
        <f t="shared" si="4"/>
        <v>7.8268937315371119</v>
      </c>
      <c r="F98">
        <f t="shared" si="5"/>
        <v>-0.47956115035758184</v>
      </c>
      <c r="H98">
        <f t="shared" si="6"/>
        <v>7.34733258117953</v>
      </c>
    </row>
    <row r="99" spans="4:8" x14ac:dyDescent="0.25">
      <c r="D99">
        <f t="shared" si="7"/>
        <v>96</v>
      </c>
      <c r="E99">
        <f t="shared" si="4"/>
        <v>8.313333989062194</v>
      </c>
      <c r="F99">
        <f t="shared" si="5"/>
        <v>-0.53311017803975602</v>
      </c>
      <c r="H99">
        <f t="shared" si="6"/>
        <v>7.780223811022438</v>
      </c>
    </row>
    <row r="100" spans="4:8" x14ac:dyDescent="0.25">
      <c r="D100">
        <f t="shared" si="7"/>
        <v>97</v>
      </c>
      <c r="E100">
        <f t="shared" si="4"/>
        <v>8.8159386131945467</v>
      </c>
      <c r="F100">
        <f t="shared" si="5"/>
        <v>-0.59121864656982304</v>
      </c>
      <c r="H100">
        <f t="shared" si="6"/>
        <v>8.2247199666247237</v>
      </c>
    </row>
    <row r="101" spans="4:8" x14ac:dyDescent="0.25">
      <c r="D101">
        <f t="shared" si="7"/>
        <v>98</v>
      </c>
      <c r="E101">
        <f t="shared" si="4"/>
        <v>9.3345368798863291</v>
      </c>
      <c r="F101">
        <f t="shared" si="5"/>
        <v>-0.65413453751760642</v>
      </c>
      <c r="H101">
        <f t="shared" si="6"/>
        <v>8.6804023423687227</v>
      </c>
    </row>
    <row r="102" spans="4:8" x14ac:dyDescent="0.25">
      <c r="D102">
        <f t="shared" si="7"/>
        <v>99</v>
      </c>
      <c r="E102">
        <f t="shared" si="4"/>
        <v>9.8689362841653931</v>
      </c>
      <c r="F102">
        <f t="shared" si="5"/>
        <v>-0.72210846991513122</v>
      </c>
      <c r="H102">
        <f t="shared" si="6"/>
        <v>9.1468278142502619</v>
      </c>
    </row>
    <row r="103" spans="4:8" x14ac:dyDescent="0.25">
      <c r="D103">
        <f t="shared" si="7"/>
        <v>100</v>
      </c>
      <c r="E103">
        <f t="shared" si="4"/>
        <v>10.418924096390029</v>
      </c>
      <c r="F103">
        <f t="shared" si="5"/>
        <v>-0.79539305353411383</v>
      </c>
      <c r="H103">
        <f t="shared" si="6"/>
        <v>9.623531042855916</v>
      </c>
    </row>
    <row r="104" spans="4:8" x14ac:dyDescent="0.25">
      <c r="D104">
        <f t="shared" si="7"/>
        <v>101</v>
      </c>
      <c r="E104">
        <f t="shared" si="4"/>
        <v>10.984268931315526</v>
      </c>
      <c r="F104">
        <f t="shared" si="5"/>
        <v>-0.87424223069452989</v>
      </c>
      <c r="H104">
        <f t="shared" si="6"/>
        <v>10.110026700620995</v>
      </c>
    </row>
    <row r="105" spans="4:8" x14ac:dyDescent="0.25">
      <c r="D105">
        <f t="shared" si="7"/>
        <v>102</v>
      </c>
      <c r="E105">
        <f t="shared" si="4"/>
        <v>11.564722318392654</v>
      </c>
      <c r="F105">
        <f t="shared" si="5"/>
        <v>-0.95891061051340643</v>
      </c>
      <c r="H105">
        <f t="shared" si="6"/>
        <v>10.605811707879248</v>
      </c>
    </row>
    <row r="106" spans="4:8" x14ac:dyDescent="0.25">
      <c r="D106">
        <f t="shared" si="7"/>
        <v>103</v>
      </c>
      <c r="E106">
        <f t="shared" si="4"/>
        <v>12.160020262711683</v>
      </c>
      <c r="F106">
        <f t="shared" si="5"/>
        <v>-1.0496527994533498</v>
      </c>
      <c r="H106">
        <f t="shared" si="6"/>
        <v>11.110367463258333</v>
      </c>
    </row>
    <row r="107" spans="4:8" x14ac:dyDescent="0.25">
      <c r="D107">
        <f t="shared" si="7"/>
        <v>104</v>
      </c>
      <c r="E107">
        <f t="shared" si="4"/>
        <v>12.769884787008451</v>
      </c>
      <c r="F107">
        <f t="shared" si="5"/>
        <v>-1.1467227319491204</v>
      </c>
      <c r="H107">
        <f t="shared" si="6"/>
        <v>11.62316205505933</v>
      </c>
    </row>
    <row r="108" spans="4:8" x14ac:dyDescent="0.25">
      <c r="D108">
        <f t="shared" si="7"/>
        <v>105</v>
      </c>
      <c r="E108">
        <f t="shared" si="4"/>
        <v>13.394025446148362</v>
      </c>
      <c r="F108">
        <f t="shared" si="5"/>
        <v>-1.2503730047798207</v>
      </c>
      <c r="H108">
        <f t="shared" si="6"/>
        <v>12.143652441368541</v>
      </c>
    </row>
    <row r="109" spans="4:8" x14ac:dyDescent="0.25">
      <c r="D109">
        <f t="shared" si="7"/>
        <v>106</v>
      </c>
      <c r="E109">
        <f t="shared" si="4"/>
        <v>14.032140806488634</v>
      </c>
      <c r="F109">
        <f t="shared" si="5"/>
        <v>-1.3608542187169679</v>
      </c>
      <c r="H109">
        <f t="shared" si="6"/>
        <v>12.671286587771666</v>
      </c>
    </row>
    <row r="110" spans="4:8" x14ac:dyDescent="0.25">
      <c r="D110">
        <f t="shared" si="7"/>
        <v>107</v>
      </c>
      <c r="E110">
        <f t="shared" si="4"/>
        <v>14.683919883477998</v>
      </c>
      <c r="F110">
        <f t="shared" si="5"/>
        <v>-1.4784143308179143</v>
      </c>
      <c r="H110">
        <f t="shared" si="6"/>
        <v>13.205505552660084</v>
      </c>
    </row>
    <row r="111" spans="4:8" x14ac:dyDescent="0.25">
      <c r="D111">
        <f t="shared" si="7"/>
        <v>108</v>
      </c>
      <c r="E111">
        <f t="shared" si="4"/>
        <v>15.349043531778612</v>
      </c>
      <c r="F111">
        <f t="shared" si="5"/>
        <v>-1.6032980205526819</v>
      </c>
      <c r="H111">
        <f t="shared" si="6"/>
        <v>13.74574551122593</v>
      </c>
    </row>
    <row r="112" spans="4:8" x14ac:dyDescent="0.25">
      <c r="D112">
        <f t="shared" si="7"/>
        <v>109</v>
      </c>
      <c r="E112">
        <f t="shared" si="4"/>
        <v>16.02718578308022</v>
      </c>
      <c r="F112">
        <f t="shared" si="5"/>
        <v>-1.7357460727534306</v>
      </c>
      <c r="H112">
        <f t="shared" si="6"/>
        <v>14.29143971032679</v>
      </c>
    </row>
    <row r="113" spans="4:8" x14ac:dyDescent="0.25">
      <c r="D113">
        <f t="shared" si="7"/>
        <v>110</v>
      </c>
      <c r="E113">
        <f t="shared" si="4"/>
        <v>16.718015127616432</v>
      </c>
      <c r="F113">
        <f t="shared" si="5"/>
        <v>-1.8759947801618271</v>
      </c>
      <c r="H113">
        <f t="shared" si="6"/>
        <v>14.842020347454605</v>
      </c>
    </row>
    <row r="114" spans="4:8" x14ac:dyDescent="0.25">
      <c r="D114">
        <f t="shared" si="7"/>
        <v>111</v>
      </c>
      <c r="E114">
        <f t="shared" si="4"/>
        <v>17.421195736182867</v>
      </c>
      <c r="F114">
        <f t="shared" si="5"/>
        <v>-2.0242753681249059</v>
      </c>
      <c r="H114">
        <f t="shared" si="6"/>
        <v>15.396920368057961</v>
      </c>
    </row>
    <row r="115" spans="4:8" x14ac:dyDescent="0.25">
      <c r="D115">
        <f t="shared" si="7"/>
        <v>112</v>
      </c>
      <c r="E115">
        <f t="shared" si="4"/>
        <v>18.13638862019414</v>
      </c>
      <c r="F115">
        <f t="shared" si="5"/>
        <v>-2.180813443755552</v>
      </c>
      <c r="H115">
        <f t="shared" si="6"/>
        <v>15.955575176438588</v>
      </c>
    </row>
    <row r="116" spans="4:8" x14ac:dyDescent="0.25">
      <c r="D116">
        <f t="shared" si="7"/>
        <v>113</v>
      </c>
      <c r="E116">
        <f t="shared" si="4"/>
        <v>18.863252727999892</v>
      </c>
      <c r="F116">
        <f t="shared" si="5"/>
        <v>-2.3458284716339186</v>
      </c>
      <c r="H116">
        <f t="shared" si="6"/>
        <v>16.517424256365974</v>
      </c>
    </row>
    <row r="117" spans="4:8" x14ac:dyDescent="0.25">
      <c r="D117">
        <f t="shared" si="7"/>
        <v>114</v>
      </c>
      <c r="E117">
        <f t="shared" si="4"/>
        <v>19.601445976307403</v>
      </c>
      <c r="F117">
        <f t="shared" si="5"/>
        <v>-2.5195332778822461</v>
      </c>
      <c r="H117">
        <f t="shared" si="6"/>
        <v>17.081912698425157</v>
      </c>
    </row>
    <row r="118" spans="4:8" x14ac:dyDescent="0.25">
      <c r="D118">
        <f t="shared" si="7"/>
        <v>115</v>
      </c>
      <c r="E118">
        <f t="shared" si="4"/>
        <v>20.350626216129982</v>
      </c>
      <c r="F118">
        <f t="shared" si="5"/>
        <v>-2.7021335842012384</v>
      </c>
      <c r="H118">
        <f t="shared" si="6"/>
        <v>17.648492631928743</v>
      </c>
    </row>
    <row r="119" spans="4:8" x14ac:dyDescent="0.25">
      <c r="D119">
        <f t="shared" si="7"/>
        <v>116</v>
      </c>
      <c r="E119">
        <f t="shared" si="4"/>
        <v>21.110452133197896</v>
      </c>
      <c r="F119">
        <f t="shared" si="5"/>
        <v>-2.8938275732120537</v>
      </c>
      <c r="H119">
        <f t="shared" si="6"/>
        <v>18.216624559985842</v>
      </c>
    </row>
    <row r="120" spans="4:8" x14ac:dyDescent="0.25">
      <c r="D120">
        <f t="shared" si="7"/>
        <v>117</v>
      </c>
      <c r="E120">
        <f t="shared" si="4"/>
        <v>21.880584083230914</v>
      </c>
      <c r="F120">
        <f t="shared" si="5"/>
        <v>-3.0948054862079211</v>
      </c>
      <c r="H120">
        <f t="shared" si="6"/>
        <v>18.785778597022993</v>
      </c>
    </row>
    <row r="121" spans="4:8" x14ac:dyDescent="0.25">
      <c r="D121">
        <f t="shared" si="7"/>
        <v>118</v>
      </c>
      <c r="E121">
        <f t="shared" si="4"/>
        <v>22.660684862883457</v>
      </c>
      <c r="F121">
        <f t="shared" si="5"/>
        <v>-3.3052492541843748</v>
      </c>
      <c r="H121">
        <f t="shared" si="6"/>
        <v>19.355435608699082</v>
      </c>
    </row>
    <row r="122" spans="4:8" x14ac:dyDescent="0.25">
      <c r="D122">
        <f t="shared" si="7"/>
        <v>119</v>
      </c>
      <c r="E122">
        <f t="shared" si="4"/>
        <v>23.450420417532712</v>
      </c>
      <c r="F122">
        <f t="shared" si="5"/>
        <v>-3.5253321627877874</v>
      </c>
      <c r="H122">
        <f t="shared" si="6"/>
        <v>19.925088254744924</v>
      </c>
    </row>
    <row r="123" spans="4:8" x14ac:dyDescent="0.25">
      <c r="D123">
        <f t="shared" si="7"/>
        <v>120</v>
      </c>
      <c r="E123">
        <f t="shared" si="4"/>
        <v>24.24946048739443</v>
      </c>
      <c r="F123">
        <f t="shared" si="5"/>
        <v>-3.7552185516020842</v>
      </c>
      <c r="H123">
        <f t="shared" si="6"/>
        <v>20.494241935792346</v>
      </c>
    </row>
    <row r="124" spans="4:8" x14ac:dyDescent="0.25">
      <c r="D124">
        <f t="shared" si="7"/>
        <v>121</v>
      </c>
      <c r="E124">
        <f t="shared" si="4"/>
        <v>25.057479193717811</v>
      </c>
      <c r="F124">
        <f t="shared" si="5"/>
        <v>-3.9950635479825607</v>
      </c>
      <c r="H124">
        <f t="shared" si="6"/>
        <v>21.06241564573525</v>
      </c>
    </row>
    <row r="125" spans="4:8" x14ac:dyDescent="0.25">
      <c r="D125">
        <f t="shared" si="7"/>
        <v>122</v>
      </c>
      <c r="E125">
        <f t="shared" si="4"/>
        <v>25.874155567036425</v>
      </c>
      <c r="F125">
        <f t="shared" si="5"/>
        <v>-4.245012835444598</v>
      </c>
      <c r="H125">
        <f t="shared" si="6"/>
        <v>21.629142731591827</v>
      </c>
    </row>
    <row r="126" spans="4:8" x14ac:dyDescent="0.25">
      <c r="D126">
        <f t="shared" si="7"/>
        <v>123</v>
      </c>
      <c r="E126">
        <f t="shared" si="4"/>
        <v>26.699174019637653</v>
      </c>
      <c r="F126">
        <f t="shared" si="5"/>
        <v>-4.5052024564274049</v>
      </c>
      <c r="H126">
        <f t="shared" si="6"/>
        <v>22.193971563210248</v>
      </c>
    </row>
    <row r="127" spans="4:8" x14ac:dyDescent="0.25">
      <c r="D127">
        <f t="shared" si="7"/>
        <v>124</v>
      </c>
      <c r="E127">
        <f t="shared" si="4"/>
        <v>27.532224764562613</v>
      </c>
      <c r="F127">
        <f t="shared" si="5"/>
        <v>-4.775758649074394</v>
      </c>
      <c r="H127">
        <f t="shared" si="6"/>
        <v>22.75646611548822</v>
      </c>
    </row>
    <row r="128" spans="4:8" x14ac:dyDescent="0.25">
      <c r="D128">
        <f t="shared" si="7"/>
        <v>125</v>
      </c>
      <c r="E128">
        <f t="shared" si="4"/>
        <v>28.373004183562912</v>
      </c>
      <c r="F128">
        <f t="shared" si="5"/>
        <v>-5.0567977175090562</v>
      </c>
      <c r="H128">
        <f t="shared" si="6"/>
        <v>23.316206466053856</v>
      </c>
    </row>
    <row r="129" spans="4:8" x14ac:dyDescent="0.25">
      <c r="D129">
        <f t="shared" si="7"/>
        <v>126</v>
      </c>
      <c r="E129">
        <f t="shared" si="4"/>
        <v>29.221215146525495</v>
      </c>
      <c r="F129">
        <f t="shared" si="5"/>
        <v>-5.3484259349331467</v>
      </c>
      <c r="H129">
        <f t="shared" si="6"/>
        <v>23.872789211592348</v>
      </c>
    </row>
    <row r="130" spans="4:8" x14ac:dyDescent="0.25">
      <c r="D130">
        <f t="shared" si="7"/>
        <v>127</v>
      </c>
      <c r="E130">
        <f t="shared" si="4"/>
        <v>30.076567284934058</v>
      </c>
      <c r="F130">
        <f t="shared" si="5"/>
        <v>-5.6507394787364262</v>
      </c>
      <c r="H130">
        <f t="shared" si="6"/>
        <v>24.425827806197631</v>
      </c>
    </row>
    <row r="131" spans="4:8" x14ac:dyDescent="0.25">
      <c r="D131">
        <f t="shared" si="7"/>
        <v>128</v>
      </c>
      <c r="E131">
        <f t="shared" si="4"/>
        <v>30.938777221965879</v>
      </c>
      <c r="F131">
        <f t="shared" si="5"/>
        <v>-5.9638243966825897</v>
      </c>
      <c r="H131">
        <f t="shared" si="6"/>
        <v>24.974952825283289</v>
      </c>
    </row>
    <row r="132" spans="4:8" x14ac:dyDescent="0.25">
      <c r="D132">
        <f t="shared" si="7"/>
        <v>129</v>
      </c>
      <c r="E132">
        <f t="shared" si="4"/>
        <v>31.807568761832698</v>
      </c>
      <c r="F132">
        <f t="shared" si="5"/>
        <v>-6.2877566031251533</v>
      </c>
      <c r="H132">
        <f t="shared" si="6"/>
        <v>25.519812158707545</v>
      </c>
    </row>
    <row r="133" spans="4:8" x14ac:dyDescent="0.25">
      <c r="D133">
        <f t="shared" si="7"/>
        <v>130</v>
      </c>
      <c r="E133">
        <f t="shared" ref="E133:E196" si="8">BS_Call(D133,$E$2,$B$8,$B$9,$B$10)</f>
        <v>32.682673040963479</v>
      </c>
      <c r="F133">
        <f t="shared" ref="F133:F196" si="9">-BS_Call(D133,$F$2,$B$8,$B$9,$B$10)</f>
        <v>-6.6226019041086488</v>
      </c>
      <c r="H133">
        <f t="shared" ref="H133:H196" si="10">G133+F133+E133</f>
        <v>26.06007113685483</v>
      </c>
    </row>
    <row r="134" spans="4:8" x14ac:dyDescent="0.25">
      <c r="D134">
        <f t="shared" ref="D134:D197" si="11">D133+1</f>
        <v>131</v>
      </c>
      <c r="E134">
        <f t="shared" si="8"/>
        <v>33.563828643598214</v>
      </c>
      <c r="F134">
        <f t="shared" si="9"/>
        <v>-6.9684160501259171</v>
      </c>
      <c r="H134">
        <f t="shared" si="10"/>
        <v>26.595412593472297</v>
      </c>
    </row>
    <row r="135" spans="4:8" x14ac:dyDescent="0.25">
      <c r="D135">
        <f t="shared" si="11"/>
        <v>132</v>
      </c>
      <c r="E135">
        <f t="shared" si="8"/>
        <v>34.450781684319381</v>
      </c>
      <c r="F135">
        <f t="shared" si="9"/>
        <v>-7.3252448152298015</v>
      </c>
      <c r="H135">
        <f t="shared" si="10"/>
        <v>27.125536869089579</v>
      </c>
    </row>
    <row r="136" spans="4:8" x14ac:dyDescent="0.25">
      <c r="D136">
        <f t="shared" si="11"/>
        <v>133</v>
      </c>
      <c r="E136">
        <f t="shared" si="8"/>
        <v>35.34328585999053</v>
      </c>
      <c r="F136">
        <f t="shared" si="9"/>
        <v>-7.6931241011371014</v>
      </c>
      <c r="H136">
        <f t="shared" si="10"/>
        <v>27.650161758853429</v>
      </c>
    </row>
    <row r="137" spans="4:8" x14ac:dyDescent="0.25">
      <c r="D137">
        <f t="shared" si="11"/>
        <v>134</v>
      </c>
      <c r="E137">
        <f t="shared" si="8"/>
        <v>36.241102473504966</v>
      </c>
      <c r="F137">
        <f t="shared" si="9"/>
        <v>-8.0720800649151698</v>
      </c>
      <c r="H137">
        <f t="shared" si="10"/>
        <v>28.169022408589797</v>
      </c>
    </row>
    <row r="138" spans="4:8" x14ac:dyDescent="0.25">
      <c r="D138">
        <f t="shared" si="11"/>
        <v>135</v>
      </c>
      <c r="E138">
        <f t="shared" si="8"/>
        <v>37.144000431670591</v>
      </c>
      <c r="F138">
        <f t="shared" si="9"/>
        <v>-8.4621292688030678</v>
      </c>
      <c r="H138">
        <f t="shared" si="10"/>
        <v>28.681871162867523</v>
      </c>
    </row>
    <row r="139" spans="4:8" x14ac:dyDescent="0.25">
      <c r="D139">
        <f t="shared" si="11"/>
        <v>136</v>
      </c>
      <c r="E139">
        <f t="shared" si="8"/>
        <v>38.05175621947312</v>
      </c>
      <c r="F139">
        <f t="shared" si="9"/>
        <v>-8.8632788506938311</v>
      </c>
      <c r="H139">
        <f t="shared" si="10"/>
        <v>29.188477368779289</v>
      </c>
    </row>
    <row r="140" spans="4:8" x14ac:dyDescent="0.25">
      <c r="D140">
        <f t="shared" si="11"/>
        <v>137</v>
      </c>
      <c r="E140">
        <f t="shared" si="8"/>
        <v>38.964153852870837</v>
      </c>
      <c r="F140">
        <f t="shared" si="9"/>
        <v>-9.2755267137873716</v>
      </c>
      <c r="H140">
        <f t="shared" si="10"/>
        <v>29.688627139083465</v>
      </c>
    </row>
    <row r="141" spans="4:8" x14ac:dyDescent="0.25">
      <c r="D141">
        <f t="shared" si="11"/>
        <v>138</v>
      </c>
      <c r="E141">
        <f t="shared" si="8"/>
        <v>39.880984812178568</v>
      </c>
      <c r="F141">
        <f t="shared" si="9"/>
        <v>-9.6988617339164023</v>
      </c>
      <c r="H141">
        <f t="shared" si="10"/>
        <v>30.182123078262165</v>
      </c>
    </row>
    <row r="142" spans="4:8" x14ac:dyDescent="0.25">
      <c r="D142">
        <f t="shared" si="11"/>
        <v>139</v>
      </c>
      <c r="E142">
        <f t="shared" si="8"/>
        <v>40.802047958002447</v>
      </c>
      <c r="F142">
        <f t="shared" si="9"/>
        <v>-10.13326398304968</v>
      </c>
      <c r="H142">
        <f t="shared" si="10"/>
        <v>30.668783974952767</v>
      </c>
    </row>
    <row r="143" spans="4:8" x14ac:dyDescent="0.25">
      <c r="D143">
        <f t="shared" si="11"/>
        <v>140</v>
      </c>
      <c r="E143">
        <f t="shared" si="8"/>
        <v>41.727149431586327</v>
      </c>
      <c r="F143">
        <f t="shared" si="9"/>
        <v>-10.578704967486352</v>
      </c>
      <c r="H143">
        <f t="shared" si="10"/>
        <v>31.148444464099974</v>
      </c>
    </row>
    <row r="144" spans="4:8" x14ac:dyDescent="0.25">
      <c r="D144">
        <f t="shared" si="11"/>
        <v>141</v>
      </c>
      <c r="E144">
        <f t="shared" si="8"/>
        <v>42.656102541330668</v>
      </c>
      <c r="F144">
        <f t="shared" si="9"/>
        <v>-11.035147879272245</v>
      </c>
      <c r="H144">
        <f t="shared" si="10"/>
        <v>31.620954662058423</v>
      </c>
    </row>
    <row r="145" spans="4:8" x14ac:dyDescent="0.25">
      <c r="D145">
        <f t="shared" si="11"/>
        <v>142</v>
      </c>
      <c r="E145">
        <f t="shared" si="8"/>
        <v>43.588727637143677</v>
      </c>
      <c r="F145">
        <f t="shared" si="9"/>
        <v>-11.502547859393225</v>
      </c>
      <c r="H145">
        <f t="shared" si="10"/>
        <v>32.086179777750452</v>
      </c>
    </row>
    <row r="146" spans="4:8" x14ac:dyDescent="0.25">
      <c r="D146">
        <f t="shared" si="11"/>
        <v>143</v>
      </c>
      <c r="E146">
        <f t="shared" si="8"/>
        <v>44.524851974183605</v>
      </c>
      <c r="F146">
        <f t="shared" si="9"/>
        <v>-11.98085227132978</v>
      </c>
      <c r="H146">
        <f t="shared" si="10"/>
        <v>32.543999702853824</v>
      </c>
    </row>
    <row r="147" spans="4:8" x14ac:dyDescent="0.25">
      <c r="D147">
        <f t="shared" si="11"/>
        <v>144</v>
      </c>
      <c r="E147">
        <f t="shared" si="8"/>
        <v>45.464309567453242</v>
      </c>
      <c r="F147">
        <f t="shared" si="9"/>
        <v>-12.470000983593287</v>
      </c>
      <c r="H147">
        <f t="shared" si="10"/>
        <v>32.994308583859954</v>
      </c>
    </row>
    <row r="148" spans="4:8" x14ac:dyDescent="0.25">
      <c r="D148">
        <f t="shared" si="11"/>
        <v>145</v>
      </c>
      <c r="E148">
        <f t="shared" si="8"/>
        <v>46.406941038608295</v>
      </c>
      <c r="F148">
        <f t="shared" si="9"/>
        <v>-12.969926659903805</v>
      </c>
      <c r="H148">
        <f t="shared" si="10"/>
        <v>33.43701437870449</v>
      </c>
    </row>
    <row r="149" spans="4:8" x14ac:dyDescent="0.25">
      <c r="D149">
        <f t="shared" si="11"/>
        <v>146</v>
      </c>
      <c r="E149">
        <f t="shared" si="8"/>
        <v>47.352593456248655</v>
      </c>
      <c r="F149">
        <f t="shared" si="9"/>
        <v>-13.480555055713722</v>
      </c>
      <c r="H149">
        <f t="shared" si="10"/>
        <v>33.872038400534933</v>
      </c>
    </row>
    <row r="150" spans="4:8" x14ac:dyDescent="0.25">
      <c r="D150">
        <f t="shared" si="11"/>
        <v>147</v>
      </c>
      <c r="E150">
        <f t="shared" si="8"/>
        <v>48.301120170867151</v>
      </c>
      <c r="F150">
        <f t="shared" si="9"/>
        <v>-14.001805319829487</v>
      </c>
      <c r="H150">
        <f t="shared" si="10"/>
        <v>34.299314851037664</v>
      </c>
    </row>
    <row r="151" spans="4:8" x14ac:dyDescent="0.25">
      <c r="D151">
        <f t="shared" si="11"/>
        <v>148</v>
      </c>
      <c r="E151">
        <f t="shared" si="8"/>
        <v>49.252380645542232</v>
      </c>
      <c r="F151">
        <f t="shared" si="9"/>
        <v>-14.53359029993463</v>
      </c>
      <c r="H151">
        <f t="shared" si="10"/>
        <v>34.718790345607601</v>
      </c>
    </row>
    <row r="152" spans="4:8" x14ac:dyDescent="0.25">
      <c r="D152">
        <f t="shared" si="11"/>
        <v>149</v>
      </c>
      <c r="E152">
        <f t="shared" si="8"/>
        <v>50.206240283374612</v>
      </c>
      <c r="F152">
        <f t="shared" si="9"/>
        <v>-15.075816850870254</v>
      </c>
      <c r="H152">
        <f t="shared" si="10"/>
        <v>35.130423432504358</v>
      </c>
    </row>
    <row r="153" spans="4:8" x14ac:dyDescent="0.25">
      <c r="D153">
        <f t="shared" si="11"/>
        <v>150</v>
      </c>
      <c r="E153">
        <f t="shared" si="8"/>
        <v>51.162570252585169</v>
      </c>
      <c r="F153">
        <f t="shared" si="9"/>
        <v>-15.62838614458505</v>
      </c>
      <c r="H153">
        <f t="shared" si="10"/>
        <v>35.534184108000119</v>
      </c>
    </row>
    <row r="154" spans="4:8" x14ac:dyDescent="0.25">
      <c r="D154">
        <f t="shared" si="11"/>
        <v>151</v>
      </c>
      <c r="E154">
        <f t="shared" si="8"/>
        <v>52.121247310113134</v>
      </c>
      <c r="F154">
        <f t="shared" si="9"/>
        <v>-16.191193980723156</v>
      </c>
      <c r="H154">
        <f t="shared" si="10"/>
        <v>35.930053329389978</v>
      </c>
    </row>
    <row r="155" spans="4:8" x14ac:dyDescent="0.25">
      <c r="D155">
        <f t="shared" si="11"/>
        <v>152</v>
      </c>
      <c r="E155">
        <f t="shared" si="8"/>
        <v>53.082153624477229</v>
      </c>
      <c r="F155">
        <f t="shared" si="9"/>
        <v>-16.764131096876895</v>
      </c>
      <c r="H155">
        <f t="shared" si="10"/>
        <v>36.318022527600334</v>
      </c>
    </row>
    <row r="156" spans="4:8" x14ac:dyDescent="0.25">
      <c r="D156">
        <f t="shared" si="11"/>
        <v>153</v>
      </c>
      <c r="E156">
        <f t="shared" si="8"/>
        <v>54.045176598592818</v>
      </c>
      <c r="F156">
        <f t="shared" si="9"/>
        <v>-17.347083477588981</v>
      </c>
      <c r="H156">
        <f t="shared" si="10"/>
        <v>36.698093121003836</v>
      </c>
    </row>
    <row r="157" spans="4:8" x14ac:dyDescent="0.25">
      <c r="D157">
        <f t="shared" si="11"/>
        <v>154</v>
      </c>
      <c r="E157">
        <f t="shared" si="8"/>
        <v>55.01020869316875</v>
      </c>
      <c r="F157">
        <f t="shared" si="9"/>
        <v>-17.939932661248577</v>
      </c>
      <c r="H157">
        <f t="shared" si="10"/>
        <v>37.070276031920173</v>
      </c>
    </row>
    <row r="158" spans="4:8" x14ac:dyDescent="0.25">
      <c r="D158">
        <f t="shared" si="11"/>
        <v>155</v>
      </c>
      <c r="E158">
        <f t="shared" si="8"/>
        <v>55.977147251245285</v>
      </c>
      <c r="F158">
        <f t="shared" si="9"/>
        <v>-18.542556044083952</v>
      </c>
      <c r="H158">
        <f t="shared" si="10"/>
        <v>37.434591207161333</v>
      </c>
    </row>
    <row r="159" spans="4:8" x14ac:dyDescent="0.25">
      <c r="D159">
        <f t="shared" si="11"/>
        <v>156</v>
      </c>
      <c r="E159">
        <f t="shared" si="8"/>
        <v>56.945894324373938</v>
      </c>
      <c r="F159">
        <f t="shared" si="9"/>
        <v>-19.154827180512683</v>
      </c>
      <c r="H159">
        <f t="shared" si="10"/>
        <v>37.791067143861255</v>
      </c>
    </row>
    <row r="160" spans="4:8" x14ac:dyDescent="0.25">
      <c r="D160">
        <f t="shared" si="11"/>
        <v>157</v>
      </c>
      <c r="E160">
        <f t="shared" si="8"/>
        <v>57.91635650088422</v>
      </c>
      <c r="F160">
        <f t="shared" si="9"/>
        <v>-19.776616079168349</v>
      </c>
      <c r="H160">
        <f t="shared" si="10"/>
        <v>38.139740421715871</v>
      </c>
    </row>
    <row r="161" spans="4:8" x14ac:dyDescent="0.25">
      <c r="D161">
        <f t="shared" si="11"/>
        <v>158</v>
      </c>
      <c r="E161">
        <f t="shared" si="8"/>
        <v>58.888444736629467</v>
      </c>
      <c r="F161">
        <f t="shared" si="9"/>
        <v>-20.407789493979692</v>
      </c>
      <c r="H161">
        <f t="shared" si="10"/>
        <v>38.480655242649775</v>
      </c>
    </row>
    <row r="162" spans="4:8" x14ac:dyDescent="0.25">
      <c r="D162">
        <f t="shared" si="11"/>
        <v>159</v>
      </c>
      <c r="E162">
        <f t="shared" si="8"/>
        <v>59.862074188555354</v>
      </c>
      <c r="F162">
        <f t="shared" si="9"/>
        <v>-21.048211209732955</v>
      </c>
      <c r="H162">
        <f t="shared" si="10"/>
        <v>38.813862978822399</v>
      </c>
    </row>
    <row r="163" spans="4:8" x14ac:dyDescent="0.25">
      <c r="D163">
        <f t="shared" si="11"/>
        <v>160</v>
      </c>
      <c r="E163">
        <f t="shared" si="8"/>
        <v>60.837164051388882</v>
      </c>
      <c r="F163">
        <f t="shared" si="9"/>
        <v>-21.697742321603258</v>
      </c>
      <c r="H163">
        <f t="shared" si="10"/>
        <v>39.139421729785624</v>
      </c>
    </row>
    <row r="164" spans="4:8" x14ac:dyDescent="0.25">
      <c r="D164">
        <f t="shared" si="11"/>
        <v>161</v>
      </c>
      <c r="E164">
        <f t="shared" si="8"/>
        <v>61.813637397703772</v>
      </c>
      <c r="F164">
        <f t="shared" si="9"/>
        <v>-22.356241508193236</v>
      </c>
      <c r="H164">
        <f t="shared" si="10"/>
        <v>39.457395889510536</v>
      </c>
    </row>
    <row r="165" spans="4:8" x14ac:dyDescent="0.25">
      <c r="D165">
        <f t="shared" si="11"/>
        <v>162</v>
      </c>
      <c r="E165">
        <f t="shared" si="8"/>
        <v>62.791421021579055</v>
      </c>
      <c r="F165">
        <f t="shared" si="9"/>
        <v>-23.023565297667915</v>
      </c>
      <c r="H165">
        <f t="shared" si="10"/>
        <v>39.76785572391114</v>
      </c>
    </row>
    <row r="166" spans="4:8" x14ac:dyDescent="0.25">
      <c r="D166">
        <f t="shared" si="11"/>
        <v>163</v>
      </c>
      <c r="E166">
        <f t="shared" si="8"/>
        <v>63.770445286031645</v>
      </c>
      <c r="F166">
        <f t="shared" si="9"/>
        <v>-23.699568326624473</v>
      </c>
      <c r="H166">
        <f t="shared" si="10"/>
        <v>40.070876959407173</v>
      </c>
    </row>
    <row r="167" spans="4:8" x14ac:dyDescent="0.25">
      <c r="D167">
        <f t="shared" si="11"/>
        <v>164</v>
      </c>
      <c r="E167">
        <f t="shared" si="8"/>
        <v>64.750643974371073</v>
      </c>
      <c r="F167">
        <f t="shared" si="9"/>
        <v>-24.384103591382313</v>
      </c>
      <c r="H167">
        <f t="shared" si="10"/>
        <v>40.366540382988759</v>
      </c>
    </row>
    <row r="168" spans="4:8" x14ac:dyDescent="0.25">
      <c r="D168">
        <f t="shared" si="11"/>
        <v>165</v>
      </c>
      <c r="E168">
        <f t="shared" si="8"/>
        <v>65.731954145594244</v>
      </c>
      <c r="F168">
        <f t="shared" si="9"/>
        <v>-25.077022691424631</v>
      </c>
      <c r="H168">
        <f t="shared" si="10"/>
        <v>40.654931454169613</v>
      </c>
    </row>
    <row r="169" spans="4:8" x14ac:dyDescent="0.25">
      <c r="D169">
        <f t="shared" si="11"/>
        <v>166</v>
      </c>
      <c r="E169">
        <f t="shared" si="8"/>
        <v>66.714315993909835</v>
      </c>
      <c r="F169">
        <f t="shared" si="9"/>
        <v>-25.778176064765361</v>
      </c>
      <c r="H169">
        <f t="shared" si="10"/>
        <v>40.936139929144474</v>
      </c>
    </row>
    <row r="170" spans="4:8" x14ac:dyDescent="0.25">
      <c r="D170">
        <f t="shared" si="11"/>
        <v>167</v>
      </c>
      <c r="E170">
        <f t="shared" si="8"/>
        <v>67.697672712458328</v>
      </c>
      <c r="F170">
        <f t="shared" si="9"/>
        <v>-26.487413215056648</v>
      </c>
      <c r="H170">
        <f t="shared" si="10"/>
        <v>41.21025949740168</v>
      </c>
    </row>
    <row r="171" spans="4:8" x14ac:dyDescent="0.25">
      <c r="D171">
        <f t="shared" si="11"/>
        <v>168</v>
      </c>
      <c r="E171">
        <f t="shared" si="8"/>
        <v>68.681970361269506</v>
      </c>
      <c r="F171">
        <f t="shared" si="9"/>
        <v>-27.20458293029121</v>
      </c>
      <c r="H171">
        <f t="shared" si="10"/>
        <v>41.477387430978297</v>
      </c>
    </row>
    <row r="172" spans="4:8" x14ac:dyDescent="0.25">
      <c r="D172">
        <f t="shared" si="11"/>
        <v>169</v>
      </c>
      <c r="E172">
        <f t="shared" si="8"/>
        <v>69.66715773947962</v>
      </c>
      <c r="F172">
        <f t="shared" si="9"/>
        <v>-27.929533492989762</v>
      </c>
      <c r="H172">
        <f t="shared" si="10"/>
        <v>41.737624246489858</v>
      </c>
    </row>
    <row r="173" spans="4:8" x14ac:dyDescent="0.25">
      <c r="D173">
        <f t="shared" si="11"/>
        <v>170</v>
      </c>
      <c r="E173">
        <f t="shared" si="8"/>
        <v>70.653186261811669</v>
      </c>
      <c r="F173">
        <f t="shared" si="9"/>
        <v>-28.662112881799573</v>
      </c>
      <c r="H173">
        <f t="shared" si="10"/>
        <v>41.991073380012097</v>
      </c>
    </row>
    <row r="174" spans="4:8" x14ac:dyDescent="0.25">
      <c r="D174">
        <f t="shared" si="11"/>
        <v>171</v>
      </c>
      <c r="E174">
        <f t="shared" si="8"/>
        <v>71.640009839305819</v>
      </c>
      <c r="F174">
        <f t="shared" si="9"/>
        <v>-29.402168964461097</v>
      </c>
      <c r="H174">
        <f t="shared" si="10"/>
        <v>42.237840874844721</v>
      </c>
    </row>
    <row r="175" spans="4:8" x14ac:dyDescent="0.25">
      <c r="D175">
        <f t="shared" si="11"/>
        <v>172</v>
      </c>
      <c r="E175">
        <f t="shared" si="8"/>
        <v>72.627584764272157</v>
      </c>
      <c r="F175">
        <f t="shared" si="9"/>
        <v>-30.149549682131337</v>
      </c>
      <c r="H175">
        <f t="shared" si="10"/>
        <v>42.478035082140821</v>
      </c>
    </row>
    <row r="176" spans="4:8" x14ac:dyDescent="0.25">
      <c r="D176">
        <f t="shared" si="11"/>
        <v>173</v>
      </c>
      <c r="E176">
        <f t="shared" si="8"/>
        <v>73.615869599425466</v>
      </c>
      <c r="F176">
        <f t="shared" si="9"/>
        <v>-30.904103225079339</v>
      </c>
      <c r="H176">
        <f t="shared" si="10"/>
        <v>42.711766374346126</v>
      </c>
    </row>
    <row r="177" spans="4:8" x14ac:dyDescent="0.25">
      <c r="D177">
        <f t="shared" si="11"/>
        <v>174</v>
      </c>
      <c r="E177">
        <f t="shared" si="8"/>
        <v>74.604825071149122</v>
      </c>
      <c r="F177">
        <f t="shared" si="9"/>
        <v>-31.665678199796815</v>
      </c>
      <c r="H177">
        <f t="shared" si="10"/>
        <v>42.939146871352307</v>
      </c>
    </row>
    <row r="178" spans="4:8" x14ac:dyDescent="0.25">
      <c r="D178">
        <f t="shared" si="11"/>
        <v>175</v>
      </c>
      <c r="E178">
        <f t="shared" si="8"/>
        <v>75.594413966826863</v>
      </c>
      <c r="F178">
        <f t="shared" si="9"/>
        <v>-32.434123787589044</v>
      </c>
      <c r="H178">
        <f t="shared" si="10"/>
        <v>43.160290179237819</v>
      </c>
    </row>
    <row r="179" spans="4:8" x14ac:dyDescent="0.25">
      <c r="D179">
        <f t="shared" si="11"/>
        <v>176</v>
      </c>
      <c r="E179">
        <f t="shared" si="8"/>
        <v>76.584601036170952</v>
      </c>
      <c r="F179">
        <f t="shared" si="9"/>
        <v>-33.209289894735079</v>
      </c>
      <c r="H179">
        <f t="shared" si="10"/>
        <v>43.375311141435873</v>
      </c>
    </row>
    <row r="180" spans="4:8" x14ac:dyDescent="0.25">
      <c r="D180">
        <f t="shared" si="11"/>
        <v>177</v>
      </c>
      <c r="E180">
        <f t="shared" si="8"/>
        <v>77.575352896468431</v>
      </c>
      <c r="F180">
        <f t="shared" si="9"/>
        <v>-33.991027294325178</v>
      </c>
      <c r="H180">
        <f t="shared" si="10"/>
        <v>43.584325602143252</v>
      </c>
    </row>
    <row r="181" spans="4:8" x14ac:dyDescent="0.25">
      <c r="D181">
        <f t="shared" si="11"/>
        <v>178</v>
      </c>
      <c r="E181">
        <f t="shared" si="8"/>
        <v>78.566637941661341</v>
      </c>
      <c r="F181">
        <f t="shared" si="9"/>
        <v>-34.779187759902499</v>
      </c>
      <c r="H181">
        <f t="shared" si="10"/>
        <v>43.787450181758842</v>
      </c>
    </row>
    <row r="182" spans="4:8" x14ac:dyDescent="0.25">
      <c r="D182">
        <f t="shared" si="11"/>
        <v>179</v>
      </c>
      <c r="E182">
        <f t="shared" si="8"/>
        <v>79.558426255170374</v>
      </c>
      <c r="F182">
        <f t="shared" si="9"/>
        <v>-35.573624191051437</v>
      </c>
      <c r="H182">
        <f t="shared" si="10"/>
        <v>43.984802064118938</v>
      </c>
    </row>
    <row r="183" spans="4:8" x14ac:dyDescent="0.25">
      <c r="D183">
        <f t="shared" si="11"/>
        <v>180</v>
      </c>
      <c r="E183">
        <f t="shared" si="8"/>
        <v>80.550689526367975</v>
      </c>
      <c r="F183">
        <f t="shared" si="9"/>
        <v>-36.374190731091645</v>
      </c>
      <c r="H183">
        <f t="shared" si="10"/>
        <v>44.176498795276331</v>
      </c>
    </row>
    <row r="184" spans="4:8" x14ac:dyDescent="0.25">
      <c r="D184">
        <f t="shared" si="11"/>
        <v>181</v>
      </c>
      <c r="E184">
        <f t="shared" si="8"/>
        <v>81.543400970603201</v>
      </c>
      <c r="F184">
        <f t="shared" si="9"/>
        <v>-37.180742877047692</v>
      </c>
      <c r="H184">
        <f t="shared" si="10"/>
        <v>44.36265809355551</v>
      </c>
    </row>
    <row r="185" spans="4:8" x14ac:dyDescent="0.25">
      <c r="D185">
        <f t="shared" si="11"/>
        <v>182</v>
      </c>
      <c r="E185">
        <f t="shared" si="8"/>
        <v>82.536535252677581</v>
      </c>
      <c r="F185">
        <f t="shared" si="9"/>
        <v>-37.993137582077921</v>
      </c>
      <c r="H185">
        <f t="shared" si="10"/>
        <v>44.54339767059966</v>
      </c>
    </row>
    <row r="186" spans="4:8" x14ac:dyDescent="0.25">
      <c r="D186">
        <f t="shared" si="11"/>
        <v>183</v>
      </c>
      <c r="E186">
        <f t="shared" si="8"/>
        <v>83.53006841366944</v>
      </c>
      <c r="F186">
        <f t="shared" si="9"/>
        <v>-38.81123335055463</v>
      </c>
      <c r="H186">
        <f t="shared" si="10"/>
        <v>44.71883506311481</v>
      </c>
    </row>
    <row r="187" spans="4:8" x14ac:dyDescent="0.25">
      <c r="D187">
        <f t="shared" si="11"/>
        <v>184</v>
      </c>
      <c r="E187">
        <f t="shared" si="8"/>
        <v>84.523977801003085</v>
      </c>
      <c r="F187">
        <f t="shared" si="9"/>
        <v>-39.634890325997333</v>
      </c>
      <c r="H187">
        <f t="shared" si="10"/>
        <v>44.889087475005752</v>
      </c>
    </row>
    <row r="188" spans="4:8" x14ac:dyDescent="0.25">
      <c r="D188">
        <f t="shared" si="11"/>
        <v>185</v>
      </c>
      <c r="E188">
        <f t="shared" si="8"/>
        <v>85.518242001657867</v>
      </c>
      <c r="F188">
        <f t="shared" si="9"/>
        <v>-40.46397037206826</v>
      </c>
      <c r="H188">
        <f t="shared" si="10"/>
        <v>45.054271629589607</v>
      </c>
    </row>
    <row r="189" spans="4:8" x14ac:dyDescent="0.25">
      <c r="D189">
        <f t="shared" si="11"/>
        <v>186</v>
      </c>
      <c r="E189">
        <f t="shared" si="8"/>
        <v>86.512840778411999</v>
      </c>
      <c r="F189">
        <f t="shared" si="9"/>
        <v>-41.298337146843906</v>
      </c>
      <c r="H189">
        <f t="shared" si="10"/>
        <v>45.214503631568093</v>
      </c>
    </row>
    <row r="190" spans="4:8" x14ac:dyDescent="0.25">
      <c r="D190">
        <f t="shared" si="11"/>
        <v>187</v>
      </c>
      <c r="E190">
        <f t="shared" si="8"/>
        <v>87.507755009016591</v>
      </c>
      <c r="F190">
        <f t="shared" si="9"/>
        <v>-42.137856170583902</v>
      </c>
      <c r="H190">
        <f t="shared" si="10"/>
        <v>45.36989883843269</v>
      </c>
    </row>
    <row r="191" spans="4:8" x14ac:dyDescent="0.25">
      <c r="D191">
        <f t="shared" si="11"/>
        <v>188</v>
      </c>
      <c r="E191">
        <f t="shared" si="8"/>
        <v>88.502966628195395</v>
      </c>
      <c r="F191">
        <f t="shared" si="9"/>
        <v>-42.982394887219314</v>
      </c>
      <c r="H191">
        <f t="shared" si="10"/>
        <v>45.520571740976081</v>
      </c>
    </row>
    <row r="192" spans="4:8" x14ac:dyDescent="0.25">
      <c r="D192">
        <f t="shared" si="11"/>
        <v>189</v>
      </c>
      <c r="E192">
        <f t="shared" si="8"/>
        <v>89.49845857236653</v>
      </c>
      <c r="F192">
        <f t="shared" si="9"/>
        <v>-43.831822719788235</v>
      </c>
      <c r="H192">
        <f t="shared" si="10"/>
        <v>45.666635852578295</v>
      </c>
    </row>
    <row r="193" spans="4:8" x14ac:dyDescent="0.25">
      <c r="D193">
        <f t="shared" si="11"/>
        <v>190</v>
      </c>
      <c r="E193">
        <f t="shared" si="8"/>
        <v>90.494214726984865</v>
      </c>
      <c r="F193">
        <f t="shared" si="9"/>
        <v>-44.68601112004572</v>
      </c>
      <c r="H193">
        <f t="shared" si="10"/>
        <v>45.808203606939145</v>
      </c>
    </row>
    <row r="194" spans="4:8" x14ac:dyDescent="0.25">
      <c r="D194">
        <f t="shared" si="11"/>
        <v>191</v>
      </c>
      <c r="E194">
        <f t="shared" si="8"/>
        <v>91.490219876403302</v>
      </c>
      <c r="F194">
        <f t="shared" si="9"/>
        <v>-45.544833612477817</v>
      </c>
      <c r="H194">
        <f t="shared" si="10"/>
        <v>45.945386263925485</v>
      </c>
    </row>
    <row r="195" spans="4:8" x14ac:dyDescent="0.25">
      <c r="D195">
        <f t="shared" si="11"/>
        <v>192</v>
      </c>
      <c r="E195">
        <f t="shared" si="8"/>
        <v>92.486459656154736</v>
      </c>
      <c r="F195">
        <f t="shared" si="9"/>
        <v>-46.408165832948811</v>
      </c>
      <c r="H195">
        <f t="shared" si="10"/>
        <v>46.078293823205925</v>
      </c>
    </row>
    <row r="196" spans="4:8" x14ac:dyDescent="0.25">
      <c r="D196">
        <f t="shared" si="11"/>
        <v>193</v>
      </c>
      <c r="E196">
        <f t="shared" si="8"/>
        <v>93.482920507557665</v>
      </c>
      <c r="F196">
        <f t="shared" si="9"/>
        <v>-47.275885562209936</v>
      </c>
      <c r="H196">
        <f t="shared" si="10"/>
        <v>46.207034945347729</v>
      </c>
    </row>
    <row r="197" spans="4:8" x14ac:dyDescent="0.25">
      <c r="D197">
        <f t="shared" si="11"/>
        <v>194</v>
      </c>
      <c r="E197">
        <f t="shared" ref="E197:E204" si="12">BS_Call(D197,$E$2,$B$8,$B$9,$B$10)</f>
        <v>94.479589634549683</v>
      </c>
      <c r="F197">
        <f t="shared" ref="F197:F204" si="13">-BS_Call(D197,$F$2,$B$8,$B$9,$B$10)</f>
        <v>-48.147872754497584</v>
      </c>
      <c r="H197">
        <f t="shared" ref="H197:H204" si="14">G197+F197+E197</f>
        <v>46.331716880052099</v>
      </c>
    </row>
    <row r="198" spans="4:8" x14ac:dyDescent="0.25">
      <c r="D198">
        <f t="shared" ref="D198:D204" si="15">D197+1</f>
        <v>195</v>
      </c>
      <c r="E198">
        <f t="shared" si="12"/>
        <v>95.476454962657371</v>
      </c>
      <c r="F198">
        <f t="shared" si="13"/>
        <v>-49.024009561445226</v>
      </c>
      <c r="H198">
        <f t="shared" si="14"/>
        <v>46.452445401212145</v>
      </c>
    </row>
    <row r="199" spans="4:8" x14ac:dyDescent="0.25">
      <c r="D199">
        <f t="shared" si="15"/>
        <v>196</v>
      </c>
      <c r="E199">
        <f t="shared" si="12"/>
        <v>96.473505100011295</v>
      </c>
      <c r="F199">
        <f t="shared" si="13"/>
        <v>-49.904180351532275</v>
      </c>
      <c r="H199">
        <f t="shared" si="14"/>
        <v>46.569324748479019</v>
      </c>
    </row>
    <row r="200" spans="4:8" x14ac:dyDescent="0.25">
      <c r="D200">
        <f t="shared" si="15"/>
        <v>197</v>
      </c>
      <c r="E200">
        <f t="shared" si="12"/>
        <v>97.470729300318538</v>
      </c>
      <c r="F200">
        <f t="shared" si="13"/>
        <v>-50.788271725289945</v>
      </c>
      <c r="H200">
        <f t="shared" si="14"/>
        <v>46.682457575028593</v>
      </c>
    </row>
    <row r="201" spans="4:8" x14ac:dyDescent="0.25">
      <c r="D201">
        <f t="shared" si="15"/>
        <v>198</v>
      </c>
      <c r="E201">
        <f t="shared" si="12"/>
        <v>98.468117427707483</v>
      </c>
      <c r="F201">
        <f t="shared" si="13"/>
        <v>-51.676172526479064</v>
      </c>
      <c r="H201">
        <f t="shared" si="14"/>
        <v>46.791944901228419</v>
      </c>
    </row>
    <row r="202" spans="4:8" x14ac:dyDescent="0.25">
      <c r="D202">
        <f t="shared" si="15"/>
        <v>199</v>
      </c>
      <c r="E202">
        <f t="shared" si="12"/>
        <v>99.46565992336194</v>
      </c>
      <c r="F202">
        <f t="shared" si="13"/>
        <v>-52.567773849452919</v>
      </c>
      <c r="H202">
        <f t="shared" si="14"/>
        <v>46.897886073909021</v>
      </c>
    </row>
    <row r="203" spans="4:8" x14ac:dyDescent="0.25">
      <c r="D203">
        <f t="shared" si="15"/>
        <v>200</v>
      </c>
      <c r="E203">
        <f t="shared" si="12"/>
        <v>100.46334777386433</v>
      </c>
      <c r="F203">
        <f t="shared" si="13"/>
        <v>-53.462969042912562</v>
      </c>
      <c r="H203">
        <f t="shared" si="14"/>
        <v>47.000378730951766</v>
      </c>
    </row>
    <row r="204" spans="4:8" x14ac:dyDescent="0.25">
      <c r="D204">
        <f t="shared" si="15"/>
        <v>201</v>
      </c>
      <c r="E204">
        <f t="shared" si="12"/>
        <v>101.46117248117054</v>
      </c>
      <c r="F204">
        <f t="shared" si="13"/>
        <v>-54.361653710257443</v>
      </c>
      <c r="H204">
        <f t="shared" si="14"/>
        <v>47.099518770913093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Room 416</dc:creator>
  <cp:lastModifiedBy>20590TA</cp:lastModifiedBy>
  <dcterms:created xsi:type="dcterms:W3CDTF">2024-02-13T11:00:30Z</dcterms:created>
  <dcterms:modified xsi:type="dcterms:W3CDTF">2024-02-22T10:38:26Z</dcterms:modified>
</cp:coreProperties>
</file>