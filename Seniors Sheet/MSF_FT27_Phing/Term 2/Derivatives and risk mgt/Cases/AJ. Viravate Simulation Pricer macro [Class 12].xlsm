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9846E5F1-0329-4537-97A7-B6F6CAD44AF6}" xr6:coauthVersionLast="47" xr6:coauthVersionMax="47" xr10:uidLastSave="{00000000-0000-0000-0000-000000000000}"/>
  <bookViews>
    <workbookView xWindow="-120" yWindow="-120" windowWidth="20730" windowHeight="11160" xr2:uid="{C55B6CB0-B83B-4CDA-BA33-DEEE357A87EB}"/>
  </bookViews>
  <sheets>
    <sheet name="Sheet1" sheetId="1" r:id="rId1"/>
  </sheets>
  <definedNames>
    <definedName name="dt_1">Sheet1!$C$8</definedName>
    <definedName name="dt_2">Sheet1!$C$8</definedName>
    <definedName name="mu">Sheet1!$C$7</definedName>
    <definedName name="mu_2">Sheet1!$D$7</definedName>
    <definedName name="rho">Sheet1!$C$9</definedName>
    <definedName name="S0">Sheet1!$C$5</definedName>
    <definedName name="S0_2">Sheet1!$D$5</definedName>
    <definedName name="sigma">Sheet1!$C$6</definedName>
    <definedName name="sigma_1">Sheet1!$C$6</definedName>
    <definedName name="sigma1">Sheet1!$C$6</definedName>
    <definedName name="sigma2">Sheet1!$D$6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4" i="1" l="1"/>
  <c r="L13" i="1"/>
  <c r="M4" i="1"/>
  <c r="M5" i="1" s="1"/>
  <c r="M6" i="1" s="1"/>
  <c r="K36" i="1"/>
  <c r="K35" i="1"/>
  <c r="K34" i="1"/>
  <c r="K33" i="1"/>
  <c r="K32" i="1"/>
  <c r="K31" i="1"/>
  <c r="K25" i="1"/>
  <c r="N503" i="1"/>
  <c r="N504" i="1" s="1"/>
  <c r="N505" i="1" s="1"/>
  <c r="N506" i="1" s="1"/>
  <c r="N507" i="1" s="1"/>
  <c r="N508" i="1" s="1"/>
  <c r="N509" i="1" s="1"/>
  <c r="N510" i="1" s="1"/>
  <c r="N502" i="1"/>
  <c r="N501" i="1"/>
  <c r="A12" i="1"/>
  <c r="N14" i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N123" i="1" s="1"/>
  <c r="N124" i="1" s="1"/>
  <c r="N125" i="1" s="1"/>
  <c r="N126" i="1" s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N159" i="1" s="1"/>
  <c r="N160" i="1" s="1"/>
  <c r="N161" i="1" s="1"/>
  <c r="N162" i="1" s="1"/>
  <c r="N163" i="1" s="1"/>
  <c r="N164" i="1" s="1"/>
  <c r="N165" i="1" s="1"/>
  <c r="N166" i="1" s="1"/>
  <c r="N167" i="1" s="1"/>
  <c r="N168" i="1" s="1"/>
  <c r="N169" i="1" s="1"/>
  <c r="N170" i="1" s="1"/>
  <c r="N171" i="1" s="1"/>
  <c r="N172" i="1" s="1"/>
  <c r="N173" i="1" s="1"/>
  <c r="N174" i="1" s="1"/>
  <c r="N175" i="1" s="1"/>
  <c r="N176" i="1" s="1"/>
  <c r="N177" i="1" s="1"/>
  <c r="N178" i="1" s="1"/>
  <c r="N179" i="1" s="1"/>
  <c r="N180" i="1" s="1"/>
  <c r="N181" i="1" s="1"/>
  <c r="N182" i="1" s="1"/>
  <c r="N183" i="1" s="1"/>
  <c r="N184" i="1" s="1"/>
  <c r="N185" i="1" s="1"/>
  <c r="N186" i="1" s="1"/>
  <c r="N187" i="1" s="1"/>
  <c r="N188" i="1" s="1"/>
  <c r="N189" i="1" s="1"/>
  <c r="N190" i="1" s="1"/>
  <c r="N191" i="1" s="1"/>
  <c r="N192" i="1" s="1"/>
  <c r="N193" i="1" s="1"/>
  <c r="N194" i="1" s="1"/>
  <c r="N195" i="1" s="1"/>
  <c r="N196" i="1" s="1"/>
  <c r="N197" i="1" s="1"/>
  <c r="N198" i="1" s="1"/>
  <c r="N199" i="1" s="1"/>
  <c r="N200" i="1" s="1"/>
  <c r="N201" i="1" s="1"/>
  <c r="N202" i="1" s="1"/>
  <c r="N203" i="1" s="1"/>
  <c r="N204" i="1" s="1"/>
  <c r="N205" i="1" s="1"/>
  <c r="N206" i="1" s="1"/>
  <c r="N207" i="1" s="1"/>
  <c r="N208" i="1" s="1"/>
  <c r="N209" i="1" s="1"/>
  <c r="N210" i="1" s="1"/>
  <c r="N211" i="1" s="1"/>
  <c r="N212" i="1" s="1"/>
  <c r="N213" i="1" s="1"/>
  <c r="N214" i="1" s="1"/>
  <c r="N215" i="1" s="1"/>
  <c r="N216" i="1" s="1"/>
  <c r="N217" i="1" s="1"/>
  <c r="N218" i="1" s="1"/>
  <c r="N219" i="1" s="1"/>
  <c r="N220" i="1" s="1"/>
  <c r="N221" i="1" s="1"/>
  <c r="N222" i="1" s="1"/>
  <c r="N223" i="1" s="1"/>
  <c r="N224" i="1" s="1"/>
  <c r="N225" i="1" s="1"/>
  <c r="N226" i="1" s="1"/>
  <c r="N227" i="1" s="1"/>
  <c r="N228" i="1" s="1"/>
  <c r="N229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N438" i="1" s="1"/>
  <c r="N439" i="1" s="1"/>
  <c r="N440" i="1" s="1"/>
  <c r="N441" i="1" s="1"/>
  <c r="N442" i="1" s="1"/>
  <c r="N443" i="1" s="1"/>
  <c r="N444" i="1" s="1"/>
  <c r="N445" i="1" s="1"/>
  <c r="N446" i="1" s="1"/>
  <c r="N447" i="1" s="1"/>
  <c r="N448" i="1" s="1"/>
  <c r="N449" i="1" s="1"/>
  <c r="N450" i="1" s="1"/>
  <c r="N451" i="1" s="1"/>
  <c r="N452" i="1" s="1"/>
  <c r="N453" i="1" s="1"/>
  <c r="N454" i="1" s="1"/>
  <c r="N455" i="1" s="1"/>
  <c r="N456" i="1" s="1"/>
  <c r="N457" i="1" s="1"/>
  <c r="N458" i="1" s="1"/>
  <c r="N459" i="1" s="1"/>
  <c r="N460" i="1" s="1"/>
  <c r="N461" i="1" s="1"/>
  <c r="N462" i="1" s="1"/>
  <c r="N463" i="1" s="1"/>
  <c r="N464" i="1" s="1"/>
  <c r="N465" i="1" s="1"/>
  <c r="N466" i="1" s="1"/>
  <c r="N467" i="1" s="1"/>
  <c r="N468" i="1" s="1"/>
  <c r="N469" i="1" s="1"/>
  <c r="N470" i="1" s="1"/>
  <c r="N471" i="1" s="1"/>
  <c r="N472" i="1" s="1"/>
  <c r="N473" i="1" s="1"/>
  <c r="N474" i="1" s="1"/>
  <c r="N475" i="1" s="1"/>
  <c r="N476" i="1" s="1"/>
  <c r="N477" i="1" s="1"/>
  <c r="N478" i="1" s="1"/>
  <c r="N479" i="1" s="1"/>
  <c r="N480" i="1" s="1"/>
  <c r="N481" i="1" s="1"/>
  <c r="N482" i="1" s="1"/>
  <c r="N483" i="1" s="1"/>
  <c r="N484" i="1" s="1"/>
  <c r="N485" i="1" s="1"/>
  <c r="N486" i="1" s="1"/>
  <c r="N487" i="1" s="1"/>
  <c r="N488" i="1" s="1"/>
  <c r="N489" i="1" s="1"/>
  <c r="N490" i="1" s="1"/>
  <c r="N491" i="1" s="1"/>
  <c r="N492" i="1" s="1"/>
  <c r="N493" i="1" s="1"/>
  <c r="N494" i="1" s="1"/>
  <c r="N495" i="1" s="1"/>
  <c r="N496" i="1" s="1"/>
  <c r="N497" i="1" s="1"/>
  <c r="N498" i="1" s="1"/>
  <c r="N499" i="1" s="1"/>
  <c r="N500" i="1" s="1"/>
  <c r="U13" i="1"/>
  <c r="T13" i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P13" i="1"/>
  <c r="O13" i="1" a="1"/>
  <c r="O13" i="1" s="1"/>
  <c r="N13" i="1"/>
  <c r="X12" i="1"/>
  <c r="R12" i="1"/>
  <c r="D8" i="1"/>
  <c r="C8" i="1"/>
  <c r="Q13" i="1" l="1"/>
  <c r="R13" i="1" s="1"/>
  <c r="P14" i="1" s="1"/>
  <c r="V13" i="1"/>
  <c r="W13" i="1" s="1"/>
  <c r="X13" i="1" s="1"/>
  <c r="O14" i="1" l="1" a="1"/>
  <c r="O14" i="1" s="1"/>
  <c r="Q14" i="1" s="1"/>
  <c r="R14" i="1" s="1"/>
  <c r="O15" i="1" s="1" a="1"/>
  <c r="O15" i="1" s="1"/>
  <c r="A13" i="1"/>
  <c r="U14" i="1"/>
  <c r="V14" i="1"/>
  <c r="P15" i="1" l="1"/>
  <c r="Q15" i="1" s="1"/>
  <c r="R15" i="1" s="1"/>
  <c r="W14" i="1"/>
  <c r="X14" i="1" s="1"/>
  <c r="A14" i="1" s="1"/>
  <c r="U15" i="1" l="1"/>
  <c r="P16" i="1"/>
  <c r="O16" i="1" a="1"/>
  <c r="O16" i="1" s="1"/>
  <c r="V15" i="1"/>
  <c r="Q16" i="1" l="1"/>
  <c r="R16" i="1" s="1"/>
  <c r="W15" i="1"/>
  <c r="X15" i="1" s="1"/>
  <c r="A15" i="1" s="1"/>
  <c r="P17" i="1" l="1"/>
  <c r="O17" i="1" a="1"/>
  <c r="O17" i="1" s="1"/>
  <c r="U16" i="1"/>
  <c r="V16" i="1"/>
  <c r="Q17" i="1" l="1"/>
  <c r="R17" i="1" s="1"/>
  <c r="O18" i="1" s="1" a="1"/>
  <c r="O18" i="1" s="1"/>
  <c r="W16" i="1"/>
  <c r="X16" i="1" s="1"/>
  <c r="A16" i="1" s="1"/>
  <c r="P18" i="1" l="1"/>
  <c r="Q18" i="1" s="1"/>
  <c r="R18" i="1" s="1"/>
  <c r="V17" i="1"/>
  <c r="U17" i="1"/>
  <c r="W17" i="1" l="1"/>
  <c r="X17" i="1" s="1"/>
  <c r="A17" i="1" s="1"/>
  <c r="O19" i="1" a="1"/>
  <c r="O19" i="1" s="1"/>
  <c r="P19" i="1"/>
  <c r="V18" i="1" l="1"/>
  <c r="U18" i="1"/>
  <c r="Q19" i="1"/>
  <c r="R19" i="1" s="1"/>
  <c r="O20" i="1" s="1" a="1"/>
  <c r="O20" i="1" s="1"/>
  <c r="P20" i="1" l="1"/>
  <c r="Q20" i="1" s="1"/>
  <c r="R20" i="1" s="1"/>
  <c r="W18" i="1"/>
  <c r="X18" i="1" s="1"/>
  <c r="A18" i="1" s="1"/>
  <c r="U19" i="1" l="1"/>
  <c r="V19" i="1"/>
  <c r="P21" i="1"/>
  <c r="O21" i="1" a="1"/>
  <c r="O21" i="1" s="1"/>
  <c r="W19" i="1" l="1"/>
  <c r="X19" i="1" s="1"/>
  <c r="V20" i="1" s="1"/>
  <c r="Q21" i="1"/>
  <c r="R21" i="1" s="1"/>
  <c r="A19" i="1" l="1"/>
  <c r="U20" i="1"/>
  <c r="W20" i="1" s="1"/>
  <c r="X20" i="1" s="1"/>
  <c r="A20" i="1" s="1"/>
  <c r="P22" i="1"/>
  <c r="O22" i="1" a="1"/>
  <c r="O22" i="1" s="1"/>
  <c r="V21" i="1" l="1"/>
  <c r="U21" i="1"/>
  <c r="Q22" i="1"/>
  <c r="R22" i="1" s="1"/>
  <c r="W21" i="1" l="1"/>
  <c r="X21" i="1" s="1"/>
  <c r="A21" i="1" s="1"/>
  <c r="O23" i="1" a="1"/>
  <c r="O23" i="1" s="1"/>
  <c r="P23" i="1"/>
  <c r="V22" i="1" l="1"/>
  <c r="U22" i="1"/>
  <c r="Q23" i="1"/>
  <c r="R23" i="1" s="1"/>
  <c r="O24" i="1" s="1" a="1"/>
  <c r="O24" i="1" s="1"/>
  <c r="W22" i="1" l="1"/>
  <c r="X22" i="1" s="1"/>
  <c r="A22" i="1" s="1"/>
  <c r="P24" i="1"/>
  <c r="Q24" i="1" s="1"/>
  <c r="R24" i="1" s="1"/>
  <c r="O25" i="1" s="1" a="1"/>
  <c r="O25" i="1" s="1"/>
  <c r="U23" i="1" l="1"/>
  <c r="V23" i="1"/>
  <c r="P25" i="1"/>
  <c r="Q25" i="1" s="1"/>
  <c r="R25" i="1" s="1"/>
  <c r="O26" i="1" s="1" a="1"/>
  <c r="O26" i="1" s="1"/>
  <c r="W23" i="1" l="1"/>
  <c r="X23" i="1" s="1"/>
  <c r="A23" i="1" s="1"/>
  <c r="P26" i="1"/>
  <c r="Q26" i="1" s="1"/>
  <c r="R26" i="1" s="1"/>
  <c r="V24" i="1" l="1"/>
  <c r="U24" i="1"/>
  <c r="O27" i="1" a="1"/>
  <c r="O27" i="1" s="1"/>
  <c r="P27" i="1"/>
  <c r="W24" i="1" l="1"/>
  <c r="X24" i="1" s="1"/>
  <c r="A24" i="1" s="1"/>
  <c r="Q27" i="1"/>
  <c r="R27" i="1" s="1"/>
  <c r="V25" i="1" l="1"/>
  <c r="U25" i="1"/>
  <c r="P28" i="1"/>
  <c r="O28" i="1" a="1"/>
  <c r="O28" i="1" s="1"/>
  <c r="W25" i="1" l="1"/>
  <c r="X25" i="1" s="1"/>
  <c r="A25" i="1" s="1"/>
  <c r="Q28" i="1"/>
  <c r="R28" i="1" s="1"/>
  <c r="V26" i="1" l="1"/>
  <c r="U26" i="1"/>
  <c r="P29" i="1"/>
  <c r="O29" i="1" a="1"/>
  <c r="O29" i="1" s="1"/>
  <c r="W26" i="1" l="1"/>
  <c r="X26" i="1" s="1"/>
  <c r="A26" i="1" s="1"/>
  <c r="Q29" i="1"/>
  <c r="R29" i="1" s="1"/>
  <c r="O30" i="1" s="1" a="1"/>
  <c r="O30" i="1" s="1"/>
  <c r="U27" i="1" l="1"/>
  <c r="V27" i="1"/>
  <c r="P30" i="1"/>
  <c r="Q30" i="1" s="1"/>
  <c r="R30" i="1" s="1"/>
  <c r="W27" i="1" l="1"/>
  <c r="X27" i="1" s="1"/>
  <c r="A27" i="1" s="1"/>
  <c r="O31" i="1" a="1"/>
  <c r="O31" i="1" s="1"/>
  <c r="P31" i="1"/>
  <c r="U28" i="1" l="1"/>
  <c r="V28" i="1"/>
  <c r="Q31" i="1"/>
  <c r="R31" i="1" s="1"/>
  <c r="W28" i="1" l="1"/>
  <c r="X28" i="1" s="1"/>
  <c r="A28" i="1" s="1"/>
  <c r="O32" i="1" a="1"/>
  <c r="O32" i="1" s="1"/>
  <c r="P32" i="1"/>
  <c r="V29" i="1" l="1"/>
  <c r="U29" i="1"/>
  <c r="Q32" i="1"/>
  <c r="R32" i="1" s="1"/>
  <c r="W29" i="1" l="1"/>
  <c r="X29" i="1" s="1"/>
  <c r="V30" i="1" s="1"/>
  <c r="P33" i="1"/>
  <c r="O33" i="1" a="1"/>
  <c r="O33" i="1" s="1"/>
  <c r="U30" i="1" l="1"/>
  <c r="W30" i="1" s="1"/>
  <c r="X30" i="1" s="1"/>
  <c r="A30" i="1" s="1"/>
  <c r="A29" i="1"/>
  <c r="Q33" i="1"/>
  <c r="R33" i="1" s="1"/>
  <c r="V31" i="1" l="1"/>
  <c r="U31" i="1"/>
  <c r="P34" i="1"/>
  <c r="O34" i="1" a="1"/>
  <c r="O34" i="1" s="1"/>
  <c r="W31" i="1" l="1"/>
  <c r="X31" i="1" s="1"/>
  <c r="A31" i="1" s="1"/>
  <c r="Q34" i="1"/>
  <c r="R34" i="1" s="1"/>
  <c r="O35" i="1" s="1" a="1"/>
  <c r="O35" i="1" s="1"/>
  <c r="U32" i="1" l="1"/>
  <c r="V32" i="1"/>
  <c r="P35" i="1"/>
  <c r="Q35" i="1" s="1"/>
  <c r="R35" i="1" s="1"/>
  <c r="W32" i="1" l="1"/>
  <c r="X32" i="1" s="1"/>
  <c r="A32" i="1" s="1"/>
  <c r="H31" i="1" s="1"/>
  <c r="I31" i="1" s="1"/>
  <c r="P36" i="1"/>
  <c r="O36" i="1" a="1"/>
  <c r="O36" i="1" s="1"/>
  <c r="V33" i="1" l="1"/>
  <c r="E31" i="1"/>
  <c r="U33" i="1"/>
  <c r="J31" i="1"/>
  <c r="L31" i="1" s="1"/>
  <c r="Q36" i="1"/>
  <c r="R36" i="1" s="1"/>
  <c r="O37" i="1" s="1" a="1"/>
  <c r="O37" i="1" s="1"/>
  <c r="W33" i="1" l="1"/>
  <c r="X33" i="1" s="1"/>
  <c r="A33" i="1" s="1"/>
  <c r="P37" i="1"/>
  <c r="Q37" i="1" s="1"/>
  <c r="R37" i="1" s="1"/>
  <c r="V34" i="1" l="1"/>
  <c r="U34" i="1"/>
  <c r="O38" i="1" a="1"/>
  <c r="O38" i="1" s="1"/>
  <c r="P38" i="1"/>
  <c r="W34" i="1" l="1"/>
  <c r="X34" i="1" s="1"/>
  <c r="A34" i="1" s="1"/>
  <c r="Q38" i="1"/>
  <c r="R38" i="1" s="1"/>
  <c r="O39" i="1" s="1" a="1"/>
  <c r="O39" i="1" s="1"/>
  <c r="V35" i="1" l="1"/>
  <c r="U35" i="1"/>
  <c r="P39" i="1"/>
  <c r="Q39" i="1" s="1"/>
  <c r="R39" i="1" s="1"/>
  <c r="W35" i="1" l="1"/>
  <c r="X35" i="1" s="1"/>
  <c r="A35" i="1" s="1"/>
  <c r="O40" i="1" a="1"/>
  <c r="O40" i="1" s="1"/>
  <c r="P40" i="1"/>
  <c r="V36" i="1" l="1"/>
  <c r="U36" i="1"/>
  <c r="Q40" i="1"/>
  <c r="R40" i="1" s="1"/>
  <c r="W36" i="1" l="1"/>
  <c r="X36" i="1" s="1"/>
  <c r="V37" i="1" s="1"/>
  <c r="P41" i="1"/>
  <c r="O41" i="1" a="1"/>
  <c r="O41" i="1" s="1"/>
  <c r="U37" i="1" l="1"/>
  <c r="W37" i="1" s="1"/>
  <c r="X37" i="1" s="1"/>
  <c r="A37" i="1" s="1"/>
  <c r="A36" i="1"/>
  <c r="Q41" i="1"/>
  <c r="R41" i="1" s="1"/>
  <c r="P42" i="1" s="1"/>
  <c r="V38" i="1" l="1"/>
  <c r="U38" i="1"/>
  <c r="O42" i="1" a="1"/>
  <c r="O42" i="1" s="1"/>
  <c r="Q42" i="1" s="1"/>
  <c r="R42" i="1" s="1"/>
  <c r="W38" i="1" l="1"/>
  <c r="X38" i="1" s="1"/>
  <c r="A38" i="1" s="1"/>
  <c r="O43" i="1" a="1"/>
  <c r="O43" i="1" s="1"/>
  <c r="P43" i="1"/>
  <c r="V39" i="1" l="1"/>
  <c r="U39" i="1"/>
  <c r="Q43" i="1"/>
  <c r="R43" i="1" s="1"/>
  <c r="W39" i="1" l="1"/>
  <c r="X39" i="1" s="1"/>
  <c r="A39" i="1" s="1"/>
  <c r="P44" i="1"/>
  <c r="O44" i="1" a="1"/>
  <c r="O44" i="1" s="1"/>
  <c r="V40" i="1" l="1"/>
  <c r="U40" i="1"/>
  <c r="Q44" i="1"/>
  <c r="R44" i="1" s="1"/>
  <c r="O45" i="1" s="1" a="1"/>
  <c r="O45" i="1" s="1"/>
  <c r="W40" i="1" l="1"/>
  <c r="X40" i="1" s="1"/>
  <c r="A40" i="1" s="1"/>
  <c r="P45" i="1"/>
  <c r="Q45" i="1" s="1"/>
  <c r="R45" i="1" s="1"/>
  <c r="O46" i="1" s="1" a="1"/>
  <c r="O46" i="1" s="1"/>
  <c r="V41" i="1" l="1"/>
  <c r="U41" i="1"/>
  <c r="P46" i="1"/>
  <c r="Q46" i="1" s="1"/>
  <c r="R46" i="1" s="1"/>
  <c r="O47" i="1" s="1" a="1"/>
  <c r="O47" i="1" s="1"/>
  <c r="W41" i="1" l="1"/>
  <c r="X41" i="1" s="1"/>
  <c r="A41" i="1" s="1"/>
  <c r="P47" i="1"/>
  <c r="Q47" i="1" s="1"/>
  <c r="R47" i="1" s="1"/>
  <c r="V42" i="1" l="1"/>
  <c r="U42" i="1"/>
  <c r="P48" i="1"/>
  <c r="O48" i="1" a="1"/>
  <c r="O48" i="1" s="1"/>
  <c r="W42" i="1" l="1"/>
  <c r="X42" i="1" s="1"/>
  <c r="A42" i="1" s="1"/>
  <c r="Q48" i="1"/>
  <c r="R48" i="1" s="1"/>
  <c r="U43" i="1" l="1"/>
  <c r="V43" i="1"/>
  <c r="P49" i="1"/>
  <c r="O49" i="1" a="1"/>
  <c r="O49" i="1" s="1"/>
  <c r="W43" i="1" l="1"/>
  <c r="X43" i="1" s="1"/>
  <c r="A43" i="1" s="1"/>
  <c r="Q49" i="1"/>
  <c r="R49" i="1" s="1"/>
  <c r="V44" i="1" l="1"/>
  <c r="U44" i="1"/>
  <c r="P50" i="1"/>
  <c r="O50" i="1" a="1"/>
  <c r="O50" i="1" s="1"/>
  <c r="W44" i="1" l="1"/>
  <c r="X44" i="1" s="1"/>
  <c r="A44" i="1" s="1"/>
  <c r="Q50" i="1"/>
  <c r="R50" i="1" s="1"/>
  <c r="U45" i="1" l="1"/>
  <c r="V45" i="1"/>
  <c r="O51" i="1" a="1"/>
  <c r="O51" i="1" s="1"/>
  <c r="P51" i="1"/>
  <c r="W45" i="1" l="1"/>
  <c r="X45" i="1" s="1"/>
  <c r="A45" i="1" s="1"/>
  <c r="Q51" i="1"/>
  <c r="R51" i="1" s="1"/>
  <c r="U46" i="1" l="1"/>
  <c r="V46" i="1"/>
  <c r="P52" i="1"/>
  <c r="O52" i="1" a="1"/>
  <c r="O52" i="1" s="1"/>
  <c r="W46" i="1" l="1"/>
  <c r="X46" i="1" s="1"/>
  <c r="A46" i="1" s="1"/>
  <c r="Q52" i="1"/>
  <c r="R52" i="1" s="1"/>
  <c r="U47" i="1" l="1"/>
  <c r="V47" i="1"/>
  <c r="P53" i="1"/>
  <c r="O53" i="1" a="1"/>
  <c r="O53" i="1" s="1"/>
  <c r="W47" i="1" l="1"/>
  <c r="X47" i="1" s="1"/>
  <c r="A47" i="1" s="1"/>
  <c r="Q53" i="1"/>
  <c r="R53" i="1" s="1"/>
  <c r="V48" i="1" l="1"/>
  <c r="U48" i="1"/>
  <c r="P54" i="1"/>
  <c r="O54" i="1" a="1"/>
  <c r="O54" i="1" s="1"/>
  <c r="W48" i="1" l="1"/>
  <c r="X48" i="1" s="1"/>
  <c r="A48" i="1" s="1"/>
  <c r="Q54" i="1"/>
  <c r="R54" i="1" s="1"/>
  <c r="V49" i="1" l="1"/>
  <c r="U49" i="1"/>
  <c r="O55" i="1" a="1"/>
  <c r="O55" i="1" s="1"/>
  <c r="P55" i="1"/>
  <c r="W49" i="1" l="1"/>
  <c r="X49" i="1" s="1"/>
  <c r="A49" i="1" s="1"/>
  <c r="Q55" i="1"/>
  <c r="R55" i="1" s="1"/>
  <c r="U50" i="1" l="1"/>
  <c r="V50" i="1"/>
  <c r="O56" i="1" a="1"/>
  <c r="O56" i="1" s="1"/>
  <c r="P56" i="1"/>
  <c r="W50" i="1" l="1"/>
  <c r="X50" i="1" s="1"/>
  <c r="A50" i="1" s="1"/>
  <c r="Q56" i="1"/>
  <c r="R56" i="1" s="1"/>
  <c r="V51" i="1" l="1"/>
  <c r="U51" i="1"/>
  <c r="P57" i="1"/>
  <c r="O57" i="1" a="1"/>
  <c r="O57" i="1" s="1"/>
  <c r="W51" i="1" l="1"/>
  <c r="X51" i="1" s="1"/>
  <c r="A51" i="1" s="1"/>
  <c r="Q57" i="1"/>
  <c r="R57" i="1" s="1"/>
  <c r="V52" i="1" l="1"/>
  <c r="U52" i="1"/>
  <c r="O58" i="1" a="1"/>
  <c r="O58" i="1" s="1"/>
  <c r="P58" i="1"/>
  <c r="W52" i="1" l="1"/>
  <c r="X52" i="1" s="1"/>
  <c r="A52" i="1" s="1"/>
  <c r="H32" i="1" s="1"/>
  <c r="J32" i="1" s="1"/>
  <c r="Q58" i="1"/>
  <c r="R58" i="1" s="1"/>
  <c r="O59" i="1" s="1" a="1"/>
  <c r="O59" i="1" s="1"/>
  <c r="V53" i="1" l="1"/>
  <c r="E32" i="1"/>
  <c r="U53" i="1"/>
  <c r="I32" i="1"/>
  <c r="L32" i="1" s="1"/>
  <c r="P59" i="1"/>
  <c r="Q59" i="1" s="1"/>
  <c r="R59" i="1" s="1"/>
  <c r="W53" i="1" l="1"/>
  <c r="X53" i="1" s="1"/>
  <c r="A53" i="1" s="1"/>
  <c r="O60" i="1" a="1"/>
  <c r="O60" i="1" s="1"/>
  <c r="P60" i="1"/>
  <c r="U54" i="1" l="1"/>
  <c r="V54" i="1"/>
  <c r="Q60" i="1"/>
  <c r="R60" i="1" s="1"/>
  <c r="W54" i="1" l="1"/>
  <c r="X54" i="1" s="1"/>
  <c r="A54" i="1" s="1"/>
  <c r="P61" i="1"/>
  <c r="O61" i="1" a="1"/>
  <c r="O61" i="1" s="1"/>
  <c r="V55" i="1" l="1"/>
  <c r="U55" i="1"/>
  <c r="Q61" i="1"/>
  <c r="R61" i="1" s="1"/>
  <c r="O62" i="1" s="1" a="1"/>
  <c r="O62" i="1" s="1"/>
  <c r="W55" i="1" l="1"/>
  <c r="X55" i="1" s="1"/>
  <c r="A55" i="1" s="1"/>
  <c r="P62" i="1"/>
  <c r="Q62" i="1" s="1"/>
  <c r="R62" i="1" s="1"/>
  <c r="V56" i="1" l="1"/>
  <c r="U56" i="1"/>
  <c r="O63" i="1" a="1"/>
  <c r="O63" i="1" s="1"/>
  <c r="P63" i="1"/>
  <c r="W56" i="1" l="1"/>
  <c r="X56" i="1" s="1"/>
  <c r="A56" i="1" s="1"/>
  <c r="Q63" i="1"/>
  <c r="R63" i="1" s="1"/>
  <c r="V57" i="1" l="1"/>
  <c r="U57" i="1"/>
  <c r="P64" i="1"/>
  <c r="O64" i="1" a="1"/>
  <c r="O64" i="1" s="1"/>
  <c r="W57" i="1" l="1"/>
  <c r="X57" i="1" s="1"/>
  <c r="A57" i="1" s="1"/>
  <c r="Q64" i="1"/>
  <c r="R64" i="1" s="1"/>
  <c r="O65" i="1" s="1" a="1"/>
  <c r="O65" i="1" s="1"/>
  <c r="V58" i="1" l="1"/>
  <c r="U58" i="1"/>
  <c r="P65" i="1"/>
  <c r="Q65" i="1" s="1"/>
  <c r="R65" i="1" s="1"/>
  <c r="O66" i="1" s="1" a="1"/>
  <c r="O66" i="1" s="1"/>
  <c r="W58" i="1" l="1"/>
  <c r="X58" i="1" s="1"/>
  <c r="A58" i="1" s="1"/>
  <c r="P66" i="1"/>
  <c r="Q66" i="1" s="1"/>
  <c r="R66" i="1" s="1"/>
  <c r="V59" i="1" l="1"/>
  <c r="U59" i="1"/>
  <c r="O67" i="1" a="1"/>
  <c r="O67" i="1" s="1"/>
  <c r="P67" i="1"/>
  <c r="W59" i="1" l="1"/>
  <c r="X59" i="1" s="1"/>
  <c r="A59" i="1" s="1"/>
  <c r="Q67" i="1"/>
  <c r="R67" i="1" s="1"/>
  <c r="V60" i="1" l="1"/>
  <c r="U60" i="1"/>
  <c r="P68" i="1"/>
  <c r="O68" i="1" a="1"/>
  <c r="O68" i="1" s="1"/>
  <c r="W60" i="1" l="1"/>
  <c r="X60" i="1" s="1"/>
  <c r="A60" i="1" s="1"/>
  <c r="Q68" i="1"/>
  <c r="R68" i="1" s="1"/>
  <c r="P69" i="1" s="1"/>
  <c r="V61" i="1" l="1"/>
  <c r="U61" i="1"/>
  <c r="O69" i="1" a="1"/>
  <c r="O69" i="1" s="1"/>
  <c r="Q69" i="1" s="1"/>
  <c r="R69" i="1" s="1"/>
  <c r="W61" i="1" l="1"/>
  <c r="X61" i="1" s="1"/>
  <c r="A61" i="1" s="1"/>
  <c r="O70" i="1" a="1"/>
  <c r="O70" i="1" s="1"/>
  <c r="P70" i="1"/>
  <c r="U62" i="1" l="1"/>
  <c r="V62" i="1"/>
  <c r="Q70" i="1"/>
  <c r="R70" i="1" s="1"/>
  <c r="O71" i="1" s="1" a="1"/>
  <c r="O71" i="1" s="1"/>
  <c r="W62" i="1" l="1"/>
  <c r="X62" i="1" s="1"/>
  <c r="A62" i="1" s="1"/>
  <c r="P71" i="1"/>
  <c r="Q71" i="1" s="1"/>
  <c r="R71" i="1" s="1"/>
  <c r="V63" i="1" l="1"/>
  <c r="U63" i="1"/>
  <c r="P72" i="1"/>
  <c r="O72" i="1" a="1"/>
  <c r="O72" i="1" s="1"/>
  <c r="W63" i="1" l="1"/>
  <c r="X63" i="1" s="1"/>
  <c r="A63" i="1" s="1"/>
  <c r="Q72" i="1"/>
  <c r="R72" i="1" s="1"/>
  <c r="P73" i="1" s="1"/>
  <c r="V64" i="1" l="1"/>
  <c r="U64" i="1"/>
  <c r="O73" i="1" a="1"/>
  <c r="O73" i="1" s="1"/>
  <c r="Q73" i="1" s="1"/>
  <c r="R73" i="1" s="1"/>
  <c r="W64" i="1" l="1"/>
  <c r="X64" i="1" s="1"/>
  <c r="A64" i="1" s="1"/>
  <c r="O74" i="1" a="1"/>
  <c r="O74" i="1" s="1"/>
  <c r="P74" i="1"/>
  <c r="V65" i="1" l="1"/>
  <c r="U65" i="1"/>
  <c r="Q74" i="1"/>
  <c r="R74" i="1" s="1"/>
  <c r="W65" i="1" l="1"/>
  <c r="X65" i="1" s="1"/>
  <c r="A65" i="1" s="1"/>
  <c r="O75" i="1" a="1"/>
  <c r="O75" i="1" s="1"/>
  <c r="P75" i="1"/>
  <c r="V66" i="1" l="1"/>
  <c r="U66" i="1"/>
  <c r="Q75" i="1"/>
  <c r="R75" i="1" s="1"/>
  <c r="W66" i="1" l="1"/>
  <c r="X66" i="1" s="1"/>
  <c r="A66" i="1" s="1"/>
  <c r="P76" i="1"/>
  <c r="O76" i="1" a="1"/>
  <c r="O76" i="1" s="1"/>
  <c r="V67" i="1" l="1"/>
  <c r="U67" i="1"/>
  <c r="Q76" i="1"/>
  <c r="R76" i="1" s="1"/>
  <c r="P77" i="1" s="1"/>
  <c r="W67" i="1" l="1"/>
  <c r="X67" i="1" s="1"/>
  <c r="A67" i="1" s="1"/>
  <c r="O77" i="1" a="1"/>
  <c r="O77" i="1" s="1"/>
  <c r="Q77" i="1" s="1"/>
  <c r="R77" i="1" s="1"/>
  <c r="V68" i="1" l="1"/>
  <c r="U68" i="1"/>
  <c r="P78" i="1"/>
  <c r="O78" i="1" a="1"/>
  <c r="O78" i="1" s="1"/>
  <c r="W68" i="1" l="1"/>
  <c r="X68" i="1" s="1"/>
  <c r="A68" i="1" s="1"/>
  <c r="Q78" i="1"/>
  <c r="R78" i="1" s="1"/>
  <c r="O79" i="1" s="1" a="1"/>
  <c r="O79" i="1" s="1"/>
  <c r="U69" i="1" l="1"/>
  <c r="V69" i="1"/>
  <c r="P79" i="1"/>
  <c r="Q79" i="1" s="1"/>
  <c r="R79" i="1" s="1"/>
  <c r="W69" i="1" l="1"/>
  <c r="X69" i="1" s="1"/>
  <c r="A69" i="1" s="1"/>
  <c r="P80" i="1"/>
  <c r="O80" i="1" a="1"/>
  <c r="O80" i="1" s="1"/>
  <c r="V70" i="1" l="1"/>
  <c r="U70" i="1"/>
  <c r="Q80" i="1"/>
  <c r="R80" i="1" s="1"/>
  <c r="O81" i="1" s="1" a="1"/>
  <c r="O81" i="1" s="1"/>
  <c r="W70" i="1" l="1"/>
  <c r="X70" i="1" s="1"/>
  <c r="A70" i="1" s="1"/>
  <c r="P81" i="1"/>
  <c r="Q81" i="1" s="1"/>
  <c r="R81" i="1" s="1"/>
  <c r="O82" i="1" s="1" a="1"/>
  <c r="O82" i="1" s="1"/>
  <c r="U71" i="1" l="1"/>
  <c r="V71" i="1"/>
  <c r="P82" i="1"/>
  <c r="Q82" i="1" s="1"/>
  <c r="R82" i="1" s="1"/>
  <c r="W71" i="1" l="1"/>
  <c r="X71" i="1" s="1"/>
  <c r="A71" i="1" s="1"/>
  <c r="O83" i="1" a="1"/>
  <c r="O83" i="1" s="1"/>
  <c r="P83" i="1"/>
  <c r="U72" i="1" l="1"/>
  <c r="V72" i="1"/>
  <c r="Q83" i="1"/>
  <c r="R83" i="1" s="1"/>
  <c r="W72" i="1" l="1"/>
  <c r="X72" i="1" s="1"/>
  <c r="A72" i="1" s="1"/>
  <c r="H33" i="1" s="1"/>
  <c r="J33" i="1" s="1"/>
  <c r="P84" i="1"/>
  <c r="O84" i="1" a="1"/>
  <c r="O84" i="1" s="1"/>
  <c r="U73" i="1" l="1"/>
  <c r="V73" i="1"/>
  <c r="E33" i="1"/>
  <c r="I33" i="1"/>
  <c r="L33" i="1" s="1"/>
  <c r="Q84" i="1"/>
  <c r="R84" i="1" s="1"/>
  <c r="P85" i="1" s="1"/>
  <c r="W73" i="1" l="1"/>
  <c r="X73" i="1" s="1"/>
  <c r="A73" i="1" s="1"/>
  <c r="O85" i="1" a="1"/>
  <c r="O85" i="1" s="1"/>
  <c r="Q85" i="1" s="1"/>
  <c r="R85" i="1" s="1"/>
  <c r="O86" i="1" s="1" a="1"/>
  <c r="O86" i="1" s="1"/>
  <c r="U74" i="1" l="1"/>
  <c r="V74" i="1"/>
  <c r="P86" i="1"/>
  <c r="Q86" i="1" s="1"/>
  <c r="R86" i="1" s="1"/>
  <c r="W74" i="1" l="1"/>
  <c r="X74" i="1" s="1"/>
  <c r="A74" i="1" s="1"/>
  <c r="O87" i="1" a="1"/>
  <c r="O87" i="1" s="1"/>
  <c r="P87" i="1"/>
  <c r="V75" i="1" l="1"/>
  <c r="U75" i="1"/>
  <c r="Q87" i="1"/>
  <c r="R87" i="1" s="1"/>
  <c r="W75" i="1" l="1"/>
  <c r="X75" i="1" s="1"/>
  <c r="A75" i="1" s="1"/>
  <c r="P88" i="1"/>
  <c r="O88" i="1" a="1"/>
  <c r="O88" i="1" s="1"/>
  <c r="V76" i="1" l="1"/>
  <c r="U76" i="1"/>
  <c r="Q88" i="1"/>
  <c r="R88" i="1" s="1"/>
  <c r="O89" i="1" s="1" a="1"/>
  <c r="O89" i="1" s="1"/>
  <c r="W76" i="1" l="1"/>
  <c r="X76" i="1" s="1"/>
  <c r="A76" i="1" s="1"/>
  <c r="P89" i="1"/>
  <c r="Q89" i="1" s="1"/>
  <c r="R89" i="1" s="1"/>
  <c r="O90" i="1" s="1" a="1"/>
  <c r="O90" i="1" s="1"/>
  <c r="V77" i="1" l="1"/>
  <c r="U77" i="1"/>
  <c r="P90" i="1"/>
  <c r="Q90" i="1" s="1"/>
  <c r="R90" i="1" s="1"/>
  <c r="W77" i="1" l="1"/>
  <c r="X77" i="1" s="1"/>
  <c r="A77" i="1" s="1"/>
  <c r="O91" i="1" a="1"/>
  <c r="O91" i="1" s="1"/>
  <c r="P91" i="1"/>
  <c r="V78" i="1" l="1"/>
  <c r="U78" i="1"/>
  <c r="Q91" i="1"/>
  <c r="R91" i="1" s="1"/>
  <c r="W78" i="1" l="1"/>
  <c r="X78" i="1" s="1"/>
  <c r="A78" i="1" s="1"/>
  <c r="P92" i="1"/>
  <c r="O92" i="1" a="1"/>
  <c r="O92" i="1" s="1"/>
  <c r="V79" i="1" l="1"/>
  <c r="U79" i="1"/>
  <c r="Q92" i="1"/>
  <c r="R92" i="1" s="1"/>
  <c r="P93" i="1" s="1"/>
  <c r="W79" i="1" l="1"/>
  <c r="X79" i="1" s="1"/>
  <c r="A79" i="1" s="1"/>
  <c r="O93" i="1" a="1"/>
  <c r="O93" i="1" s="1"/>
  <c r="Q93" i="1" s="1"/>
  <c r="R93" i="1" s="1"/>
  <c r="O94" i="1" s="1" a="1"/>
  <c r="O94" i="1" s="1"/>
  <c r="V80" i="1" l="1"/>
  <c r="U80" i="1"/>
  <c r="P94" i="1"/>
  <c r="Q94" i="1" s="1"/>
  <c r="R94" i="1" s="1"/>
  <c r="W80" i="1" l="1"/>
  <c r="X80" i="1" s="1"/>
  <c r="A80" i="1" s="1"/>
  <c r="O95" i="1" a="1"/>
  <c r="O95" i="1" s="1"/>
  <c r="P95" i="1"/>
  <c r="V81" i="1" l="1"/>
  <c r="U81" i="1"/>
  <c r="Q95" i="1"/>
  <c r="R95" i="1" s="1"/>
  <c r="W81" i="1" l="1"/>
  <c r="X81" i="1" s="1"/>
  <c r="A81" i="1" s="1"/>
  <c r="P96" i="1"/>
  <c r="O96" i="1" a="1"/>
  <c r="O96" i="1" s="1"/>
  <c r="V82" i="1" l="1"/>
  <c r="U82" i="1"/>
  <c r="Q96" i="1"/>
  <c r="R96" i="1" s="1"/>
  <c r="P97" i="1" s="1"/>
  <c r="W82" i="1" l="1"/>
  <c r="X82" i="1" s="1"/>
  <c r="A82" i="1" s="1"/>
  <c r="O97" i="1" a="1"/>
  <c r="O97" i="1" s="1"/>
  <c r="Q97" i="1" s="1"/>
  <c r="R97" i="1" s="1"/>
  <c r="O98" i="1" s="1" a="1"/>
  <c r="O98" i="1" s="1"/>
  <c r="V83" i="1" l="1"/>
  <c r="U83" i="1"/>
  <c r="P98" i="1"/>
  <c r="Q98" i="1" s="1"/>
  <c r="R98" i="1" s="1"/>
  <c r="W83" i="1" l="1"/>
  <c r="X83" i="1" s="1"/>
  <c r="A83" i="1" s="1"/>
  <c r="O99" i="1" a="1"/>
  <c r="O99" i="1" s="1"/>
  <c r="P99" i="1"/>
  <c r="U84" i="1" l="1"/>
  <c r="V84" i="1"/>
  <c r="Q99" i="1"/>
  <c r="R99" i="1" s="1"/>
  <c r="W84" i="1" l="1"/>
  <c r="X84" i="1" s="1"/>
  <c r="A84" i="1" s="1"/>
  <c r="P100" i="1"/>
  <c r="O100" i="1" a="1"/>
  <c r="O100" i="1" s="1"/>
  <c r="V85" i="1" l="1"/>
  <c r="U85" i="1"/>
  <c r="Q100" i="1"/>
  <c r="R100" i="1" s="1"/>
  <c r="P101" i="1" s="1"/>
  <c r="W85" i="1" l="1"/>
  <c r="X85" i="1" s="1"/>
  <c r="A85" i="1" s="1"/>
  <c r="O101" i="1" a="1"/>
  <c r="O101" i="1" s="1"/>
  <c r="Q101" i="1" s="1"/>
  <c r="R101" i="1" s="1"/>
  <c r="V86" i="1" l="1"/>
  <c r="U86" i="1"/>
  <c r="O102" i="1" a="1"/>
  <c r="O102" i="1" s="1"/>
  <c r="P102" i="1"/>
  <c r="W86" i="1" l="1"/>
  <c r="X86" i="1" s="1"/>
  <c r="A86" i="1" s="1"/>
  <c r="Q102" i="1"/>
  <c r="R102" i="1" s="1"/>
  <c r="V87" i="1" l="1"/>
  <c r="U87" i="1"/>
  <c r="O103" i="1" a="1"/>
  <c r="O103" i="1" s="1"/>
  <c r="P103" i="1"/>
  <c r="W87" i="1" l="1"/>
  <c r="X87" i="1" s="1"/>
  <c r="A87" i="1" s="1"/>
  <c r="Q103" i="1"/>
  <c r="R103" i="1" s="1"/>
  <c r="V88" i="1" l="1"/>
  <c r="U88" i="1"/>
  <c r="P104" i="1"/>
  <c r="O104" i="1" a="1"/>
  <c r="O104" i="1" s="1"/>
  <c r="W88" i="1" l="1"/>
  <c r="X88" i="1" s="1"/>
  <c r="A88" i="1" s="1"/>
  <c r="Q104" i="1"/>
  <c r="R104" i="1" s="1"/>
  <c r="O105" i="1" s="1" a="1"/>
  <c r="O105" i="1" s="1"/>
  <c r="V89" i="1" l="1"/>
  <c r="U89" i="1"/>
  <c r="P105" i="1"/>
  <c r="Q105" i="1" s="1"/>
  <c r="R105" i="1" s="1"/>
  <c r="P106" i="1" s="1"/>
  <c r="W89" i="1" l="1"/>
  <c r="X89" i="1" s="1"/>
  <c r="U90" i="1" s="1"/>
  <c r="O106" i="1" a="1"/>
  <c r="O106" i="1" s="1"/>
  <c r="Q106" i="1" s="1"/>
  <c r="R106" i="1" s="1"/>
  <c r="A89" i="1" l="1"/>
  <c r="V90" i="1"/>
  <c r="W90" i="1" s="1"/>
  <c r="X90" i="1" s="1"/>
  <c r="U91" i="1" s="1"/>
  <c r="O107" i="1" a="1"/>
  <c r="O107" i="1" s="1"/>
  <c r="P107" i="1"/>
  <c r="V91" i="1" l="1"/>
  <c r="W91" i="1" s="1"/>
  <c r="X91" i="1" s="1"/>
  <c r="A90" i="1"/>
  <c r="Q107" i="1"/>
  <c r="R107" i="1" s="1"/>
  <c r="A91" i="1" l="1"/>
  <c r="U92" i="1"/>
  <c r="V92" i="1"/>
  <c r="P108" i="1"/>
  <c r="O108" i="1" a="1"/>
  <c r="O108" i="1" s="1"/>
  <c r="W92" i="1" l="1"/>
  <c r="X92" i="1" s="1"/>
  <c r="A92" i="1" s="1"/>
  <c r="H34" i="1" s="1"/>
  <c r="J34" i="1" s="1"/>
  <c r="Q108" i="1"/>
  <c r="R108" i="1" s="1"/>
  <c r="O109" i="1" s="1" a="1"/>
  <c r="O109" i="1" s="1"/>
  <c r="V93" i="1" l="1"/>
  <c r="E34" i="1"/>
  <c r="I34" i="1"/>
  <c r="L34" i="1" s="1"/>
  <c r="U93" i="1"/>
  <c r="P109" i="1"/>
  <c r="Q109" i="1" s="1"/>
  <c r="R109" i="1" s="1"/>
  <c r="W93" i="1" l="1"/>
  <c r="X93" i="1" s="1"/>
  <c r="A93" i="1" s="1"/>
  <c r="O110" i="1" a="1"/>
  <c r="O110" i="1" s="1"/>
  <c r="P110" i="1"/>
  <c r="V94" i="1" l="1"/>
  <c r="U94" i="1"/>
  <c r="Q110" i="1"/>
  <c r="R110" i="1" s="1"/>
  <c r="O111" i="1" s="1" a="1"/>
  <c r="O111" i="1" s="1"/>
  <c r="W94" i="1" l="1"/>
  <c r="X94" i="1" s="1"/>
  <c r="A94" i="1" s="1"/>
  <c r="P111" i="1"/>
  <c r="Q111" i="1" s="1"/>
  <c r="R111" i="1" s="1"/>
  <c r="U95" i="1" l="1"/>
  <c r="V95" i="1"/>
  <c r="P112" i="1"/>
  <c r="O112" i="1" a="1"/>
  <c r="O112" i="1" s="1"/>
  <c r="W95" i="1" l="1"/>
  <c r="X95" i="1" s="1"/>
  <c r="A95" i="1" s="1"/>
  <c r="Q112" i="1"/>
  <c r="R112" i="1" s="1"/>
  <c r="P113" i="1" s="1"/>
  <c r="U96" i="1" l="1"/>
  <c r="V96" i="1"/>
  <c r="O113" i="1" a="1"/>
  <c r="O113" i="1" s="1"/>
  <c r="Q113" i="1" s="1"/>
  <c r="R113" i="1" s="1"/>
  <c r="O114" i="1" s="1" a="1"/>
  <c r="O114" i="1" s="1"/>
  <c r="W96" i="1" l="1"/>
  <c r="X96" i="1" s="1"/>
  <c r="V97" i="1" s="1"/>
  <c r="P114" i="1"/>
  <c r="Q114" i="1" s="1"/>
  <c r="R114" i="1" s="1"/>
  <c r="A96" i="1" l="1"/>
  <c r="U97" i="1"/>
  <c r="W97" i="1" s="1"/>
  <c r="X97" i="1" s="1"/>
  <c r="O115" i="1" a="1"/>
  <c r="O115" i="1" s="1"/>
  <c r="P115" i="1"/>
  <c r="A97" i="1" l="1"/>
  <c r="V98" i="1"/>
  <c r="U98" i="1"/>
  <c r="Q115" i="1"/>
  <c r="R115" i="1" s="1"/>
  <c r="W98" i="1" l="1"/>
  <c r="X98" i="1" s="1"/>
  <c r="U99" i="1" s="1"/>
  <c r="P116" i="1"/>
  <c r="O116" i="1" a="1"/>
  <c r="O116" i="1" s="1"/>
  <c r="A98" i="1" l="1"/>
  <c r="V99" i="1"/>
  <c r="W99" i="1" s="1"/>
  <c r="X99" i="1" s="1"/>
  <c r="A99" i="1" s="1"/>
  <c r="Q116" i="1"/>
  <c r="R116" i="1" s="1"/>
  <c r="P117" i="1" s="1"/>
  <c r="V100" i="1" l="1"/>
  <c r="U100" i="1"/>
  <c r="O117" i="1" a="1"/>
  <c r="O117" i="1" s="1"/>
  <c r="Q117" i="1" s="1"/>
  <c r="R117" i="1" s="1"/>
  <c r="O118" i="1" s="1" a="1"/>
  <c r="O118" i="1" s="1"/>
  <c r="W100" i="1" l="1"/>
  <c r="X100" i="1" s="1"/>
  <c r="A100" i="1" s="1"/>
  <c r="P118" i="1"/>
  <c r="Q118" i="1" s="1"/>
  <c r="R118" i="1" s="1"/>
  <c r="U101" i="1" l="1"/>
  <c r="V101" i="1"/>
  <c r="O119" i="1" a="1"/>
  <c r="O119" i="1" s="1"/>
  <c r="P119" i="1"/>
  <c r="W101" i="1" l="1"/>
  <c r="X101" i="1" s="1"/>
  <c r="A101" i="1" s="1"/>
  <c r="Q119" i="1"/>
  <c r="R119" i="1" s="1"/>
  <c r="V102" i="1" l="1"/>
  <c r="U102" i="1"/>
  <c r="P120" i="1"/>
  <c r="O120" i="1" a="1"/>
  <c r="O120" i="1" s="1"/>
  <c r="W102" i="1" l="1"/>
  <c r="X102" i="1" s="1"/>
  <c r="A102" i="1" s="1"/>
  <c r="Q120" i="1"/>
  <c r="R120" i="1" s="1"/>
  <c r="P121" i="1" s="1"/>
  <c r="U103" i="1" l="1"/>
  <c r="V103" i="1"/>
  <c r="O121" i="1" a="1"/>
  <c r="O121" i="1" s="1"/>
  <c r="Q121" i="1" s="1"/>
  <c r="R121" i="1" s="1"/>
  <c r="W103" i="1" l="1"/>
  <c r="X103" i="1" s="1"/>
  <c r="A103" i="1" s="1"/>
  <c r="O122" i="1" a="1"/>
  <c r="O122" i="1" s="1"/>
  <c r="P122" i="1"/>
  <c r="U104" i="1" l="1"/>
  <c r="V104" i="1"/>
  <c r="Q122" i="1"/>
  <c r="R122" i="1" s="1"/>
  <c r="O123" i="1" s="1" a="1"/>
  <c r="O123" i="1" s="1"/>
  <c r="W104" i="1" l="1"/>
  <c r="X104" i="1" s="1"/>
  <c r="A104" i="1" s="1"/>
  <c r="P123" i="1"/>
  <c r="Q123" i="1" s="1"/>
  <c r="R123" i="1" s="1"/>
  <c r="U105" i="1" l="1"/>
  <c r="V105" i="1"/>
  <c r="P124" i="1"/>
  <c r="O124" i="1" a="1"/>
  <c r="O124" i="1" s="1"/>
  <c r="W105" i="1" l="1"/>
  <c r="X105" i="1" s="1"/>
  <c r="U106" i="1" s="1"/>
  <c r="Q124" i="1"/>
  <c r="R124" i="1" s="1"/>
  <c r="A105" i="1" l="1"/>
  <c r="V106" i="1"/>
  <c r="W106" i="1" s="1"/>
  <c r="X106" i="1" s="1"/>
  <c r="A106" i="1" s="1"/>
  <c r="O125" i="1" a="1"/>
  <c r="O125" i="1" s="1"/>
  <c r="P125" i="1"/>
  <c r="U107" i="1" l="1"/>
  <c r="V107" i="1"/>
  <c r="Q125" i="1"/>
  <c r="R125" i="1" s="1"/>
  <c r="O126" i="1" s="1" a="1"/>
  <c r="O126" i="1" s="1"/>
  <c r="W107" i="1" l="1"/>
  <c r="X107" i="1" s="1"/>
  <c r="A107" i="1" s="1"/>
  <c r="P126" i="1"/>
  <c r="Q126" i="1" s="1"/>
  <c r="R126" i="1" s="1"/>
  <c r="U108" i="1" l="1"/>
  <c r="V108" i="1"/>
  <c r="O127" i="1" a="1"/>
  <c r="O127" i="1" s="1"/>
  <c r="P127" i="1"/>
  <c r="W108" i="1" l="1"/>
  <c r="X108" i="1" s="1"/>
  <c r="A108" i="1" s="1"/>
  <c r="Q127" i="1"/>
  <c r="R127" i="1" s="1"/>
  <c r="O128" i="1" s="1" a="1"/>
  <c r="O128" i="1" s="1"/>
  <c r="U109" i="1" l="1"/>
  <c r="V109" i="1"/>
  <c r="P128" i="1"/>
  <c r="Q128" i="1" s="1"/>
  <c r="R128" i="1" s="1"/>
  <c r="P129" i="1" s="1"/>
  <c r="W109" i="1" l="1"/>
  <c r="X109" i="1" s="1"/>
  <c r="A109" i="1" s="1"/>
  <c r="O129" i="1" a="1"/>
  <c r="O129" i="1" s="1"/>
  <c r="Q129" i="1" s="1"/>
  <c r="R129" i="1" s="1"/>
  <c r="U110" i="1" l="1"/>
  <c r="V110" i="1"/>
  <c r="O130" i="1" a="1"/>
  <c r="O130" i="1" s="1"/>
  <c r="P130" i="1"/>
  <c r="W110" i="1" l="1"/>
  <c r="X110" i="1" s="1"/>
  <c r="A110" i="1" s="1"/>
  <c r="Q130" i="1"/>
  <c r="R130" i="1" s="1"/>
  <c r="P131" i="1" s="1"/>
  <c r="V111" i="1" l="1"/>
  <c r="U111" i="1"/>
  <c r="O131" i="1" a="1"/>
  <c r="O131" i="1" s="1"/>
  <c r="Q131" i="1" s="1"/>
  <c r="R131" i="1" s="1"/>
  <c r="W111" i="1" l="1"/>
  <c r="X111" i="1" s="1"/>
  <c r="A111" i="1" s="1"/>
  <c r="P132" i="1"/>
  <c r="O132" i="1" a="1"/>
  <c r="O132" i="1" s="1"/>
  <c r="V112" i="1" l="1"/>
  <c r="U112" i="1"/>
  <c r="Q132" i="1"/>
  <c r="R132" i="1" s="1"/>
  <c r="P133" i="1" s="1"/>
  <c r="W112" i="1" l="1"/>
  <c r="X112" i="1" s="1"/>
  <c r="A112" i="1" s="1"/>
  <c r="H35" i="1" s="1"/>
  <c r="J36" i="1" s="1"/>
  <c r="O133" i="1" a="1"/>
  <c r="O133" i="1" s="1"/>
  <c r="Q133" i="1" s="1"/>
  <c r="R133" i="1" s="1"/>
  <c r="V113" i="1" l="1"/>
  <c r="U113" i="1"/>
  <c r="J35" i="1"/>
  <c r="E35" i="1"/>
  <c r="I35" i="1"/>
  <c r="O134" i="1" a="1"/>
  <c r="O134" i="1" s="1"/>
  <c r="P134" i="1"/>
  <c r="W113" i="1" l="1"/>
  <c r="X113" i="1" s="1"/>
  <c r="A113" i="1" s="1"/>
  <c r="L35" i="1"/>
  <c r="Q134" i="1"/>
  <c r="R134" i="1" s="1"/>
  <c r="O135" i="1" s="1" a="1"/>
  <c r="O135" i="1" s="1"/>
  <c r="U114" i="1" l="1"/>
  <c r="V114" i="1"/>
  <c r="P135" i="1"/>
  <c r="Q135" i="1" s="1"/>
  <c r="R135" i="1" s="1"/>
  <c r="W114" i="1" l="1"/>
  <c r="X114" i="1" s="1"/>
  <c r="A114" i="1" s="1"/>
  <c r="P136" i="1"/>
  <c r="O136" i="1" a="1"/>
  <c r="O136" i="1" s="1"/>
  <c r="V115" i="1" l="1"/>
  <c r="U115" i="1"/>
  <c r="Q136" i="1"/>
  <c r="R136" i="1" s="1"/>
  <c r="W115" i="1" l="1"/>
  <c r="X115" i="1" s="1"/>
  <c r="A115" i="1" s="1"/>
  <c r="P137" i="1"/>
  <c r="O137" i="1" a="1"/>
  <c r="O137" i="1" s="1"/>
  <c r="V116" i="1" l="1"/>
  <c r="U116" i="1"/>
  <c r="Q137" i="1"/>
  <c r="R137" i="1" s="1"/>
  <c r="O138" i="1" s="1" a="1"/>
  <c r="O138" i="1" s="1"/>
  <c r="W116" i="1" l="1"/>
  <c r="X116" i="1" s="1"/>
  <c r="A116" i="1" s="1"/>
  <c r="P138" i="1"/>
  <c r="Q138" i="1" s="1"/>
  <c r="R138" i="1" s="1"/>
  <c r="V117" i="1" l="1"/>
  <c r="U117" i="1"/>
  <c r="O139" i="1" a="1"/>
  <c r="O139" i="1" s="1"/>
  <c r="P139" i="1"/>
  <c r="W117" i="1" l="1"/>
  <c r="X117" i="1" s="1"/>
  <c r="A117" i="1" s="1"/>
  <c r="Q139" i="1"/>
  <c r="R139" i="1" s="1"/>
  <c r="U118" i="1" l="1"/>
  <c r="V118" i="1"/>
  <c r="P140" i="1"/>
  <c r="O140" i="1" a="1"/>
  <c r="O140" i="1" s="1"/>
  <c r="W118" i="1" l="1"/>
  <c r="X118" i="1" s="1"/>
  <c r="A118" i="1" s="1"/>
  <c r="Q140" i="1"/>
  <c r="R140" i="1" s="1"/>
  <c r="P141" i="1" s="1"/>
  <c r="V119" i="1" l="1"/>
  <c r="U119" i="1"/>
  <c r="O141" i="1" a="1"/>
  <c r="O141" i="1" s="1"/>
  <c r="Q141" i="1" s="1"/>
  <c r="R141" i="1" s="1"/>
  <c r="W119" i="1" l="1"/>
  <c r="X119" i="1" s="1"/>
  <c r="A119" i="1" s="1"/>
  <c r="O142" i="1" a="1"/>
  <c r="O142" i="1" s="1"/>
  <c r="P142" i="1"/>
  <c r="V120" i="1" l="1"/>
  <c r="U120" i="1"/>
  <c r="Q142" i="1"/>
  <c r="R142" i="1" s="1"/>
  <c r="O143" i="1" s="1" a="1"/>
  <c r="O143" i="1" s="1"/>
  <c r="W120" i="1" l="1"/>
  <c r="X120" i="1" s="1"/>
  <c r="A120" i="1" s="1"/>
  <c r="P143" i="1"/>
  <c r="Q143" i="1" s="1"/>
  <c r="R143" i="1" s="1"/>
  <c r="V121" i="1" l="1"/>
  <c r="U121" i="1"/>
  <c r="O144" i="1" a="1"/>
  <c r="O144" i="1" s="1"/>
  <c r="P144" i="1"/>
  <c r="W121" i="1" l="1"/>
  <c r="X121" i="1" s="1"/>
  <c r="A121" i="1" s="1"/>
  <c r="Q144" i="1"/>
  <c r="R144" i="1" s="1"/>
  <c r="P145" i="1" s="1"/>
  <c r="U122" i="1" l="1"/>
  <c r="V122" i="1"/>
  <c r="O145" i="1" a="1"/>
  <c r="O145" i="1" s="1"/>
  <c r="Q145" i="1" s="1"/>
  <c r="R145" i="1" s="1"/>
  <c r="W122" i="1" l="1"/>
  <c r="X122" i="1" s="1"/>
  <c r="A122" i="1" s="1"/>
  <c r="O146" i="1" a="1"/>
  <c r="O146" i="1" s="1"/>
  <c r="P146" i="1"/>
  <c r="U123" i="1" l="1"/>
  <c r="V123" i="1"/>
  <c r="Q146" i="1"/>
  <c r="R146" i="1" s="1"/>
  <c r="O147" i="1" s="1" a="1"/>
  <c r="O147" i="1" s="1"/>
  <c r="W123" i="1" l="1"/>
  <c r="X123" i="1" s="1"/>
  <c r="A123" i="1" s="1"/>
  <c r="P147" i="1"/>
  <c r="Q147" i="1" s="1"/>
  <c r="R147" i="1" s="1"/>
  <c r="V124" i="1" l="1"/>
  <c r="U124" i="1"/>
  <c r="O148" i="1" a="1"/>
  <c r="O148" i="1" s="1"/>
  <c r="P148" i="1"/>
  <c r="W124" i="1" l="1"/>
  <c r="X124" i="1" s="1"/>
  <c r="A124" i="1" s="1"/>
  <c r="Q148" i="1"/>
  <c r="R148" i="1" s="1"/>
  <c r="P149" i="1" s="1"/>
  <c r="U125" i="1" l="1"/>
  <c r="V125" i="1"/>
  <c r="O149" i="1" a="1"/>
  <c r="O149" i="1" s="1"/>
  <c r="Q149" i="1" s="1"/>
  <c r="R149" i="1" s="1"/>
  <c r="P150" i="1" s="1"/>
  <c r="W125" i="1" l="1"/>
  <c r="X125" i="1" s="1"/>
  <c r="A125" i="1" s="1"/>
  <c r="O150" i="1" a="1"/>
  <c r="O150" i="1" s="1"/>
  <c r="Q150" i="1" s="1"/>
  <c r="R150" i="1" s="1"/>
  <c r="U126" i="1" l="1"/>
  <c r="V126" i="1"/>
  <c r="O151" i="1" a="1"/>
  <c r="O151" i="1" s="1"/>
  <c r="P151" i="1"/>
  <c r="W126" i="1" l="1"/>
  <c r="X126" i="1" s="1"/>
  <c r="A126" i="1" s="1"/>
  <c r="Q151" i="1"/>
  <c r="R151" i="1" s="1"/>
  <c r="O152" i="1" s="1" a="1"/>
  <c r="O152" i="1" s="1"/>
  <c r="U127" i="1" l="1"/>
  <c r="V127" i="1"/>
  <c r="P152" i="1"/>
  <c r="Q152" i="1" s="1"/>
  <c r="R152" i="1" s="1"/>
  <c r="W127" i="1" l="1"/>
  <c r="X127" i="1" s="1"/>
  <c r="A127" i="1" s="1"/>
  <c r="P153" i="1"/>
  <c r="O153" i="1" a="1"/>
  <c r="O153" i="1" s="1"/>
  <c r="V128" i="1" l="1"/>
  <c r="U128" i="1"/>
  <c r="Q153" i="1"/>
  <c r="R153" i="1" s="1"/>
  <c r="P154" i="1" s="1"/>
  <c r="W128" i="1" l="1"/>
  <c r="X128" i="1" s="1"/>
  <c r="V129" i="1" s="1"/>
  <c r="O154" i="1" a="1"/>
  <c r="O154" i="1" s="1"/>
  <c r="Q154" i="1" s="1"/>
  <c r="R154" i="1" s="1"/>
  <c r="A128" i="1" l="1"/>
  <c r="U129" i="1"/>
  <c r="W129" i="1" s="1"/>
  <c r="X129" i="1" s="1"/>
  <c r="O155" i="1" a="1"/>
  <c r="O155" i="1" s="1"/>
  <c r="P155" i="1"/>
  <c r="A129" i="1" l="1"/>
  <c r="V130" i="1"/>
  <c r="U130" i="1"/>
  <c r="Q155" i="1"/>
  <c r="R155" i="1" s="1"/>
  <c r="O156" i="1" s="1" a="1"/>
  <c r="O156" i="1" s="1"/>
  <c r="W130" i="1" l="1"/>
  <c r="X130" i="1" s="1"/>
  <c r="A130" i="1" s="1"/>
  <c r="P156" i="1"/>
  <c r="Q156" i="1" s="1"/>
  <c r="R156" i="1" s="1"/>
  <c r="U131" i="1" l="1"/>
  <c r="V131" i="1"/>
  <c r="P157" i="1"/>
  <c r="O157" i="1" a="1"/>
  <c r="O157" i="1" s="1"/>
  <c r="W131" i="1" l="1"/>
  <c r="X131" i="1" s="1"/>
  <c r="A131" i="1" s="1"/>
  <c r="Q157" i="1"/>
  <c r="R157" i="1" s="1"/>
  <c r="P158" i="1" s="1"/>
  <c r="U132" i="1" l="1"/>
  <c r="V132" i="1"/>
  <c r="O158" i="1" a="1"/>
  <c r="O158" i="1" s="1"/>
  <c r="Q158" i="1" s="1"/>
  <c r="R158" i="1" s="1"/>
  <c r="W132" i="1" l="1"/>
  <c r="X132" i="1" s="1"/>
  <c r="A132" i="1" s="1"/>
  <c r="E36" i="1" s="1"/>
  <c r="O159" i="1" a="1"/>
  <c r="O159" i="1" s="1"/>
  <c r="P159" i="1"/>
  <c r="U133" i="1" l="1"/>
  <c r="H36" i="1"/>
  <c r="I36" i="1" s="1"/>
  <c r="H29" i="1"/>
  <c r="V133" i="1"/>
  <c r="Q159" i="1"/>
  <c r="R159" i="1" s="1"/>
  <c r="O160" i="1" s="1" a="1"/>
  <c r="O160" i="1" s="1"/>
  <c r="I29" i="1" l="1"/>
  <c r="L36" i="1" s="1"/>
  <c r="L37" i="1" s="1"/>
  <c r="W133" i="1"/>
  <c r="X133" i="1" s="1"/>
  <c r="A133" i="1" s="1"/>
  <c r="P160" i="1"/>
  <c r="Q160" i="1" s="1"/>
  <c r="R160" i="1" s="1"/>
  <c r="U134" i="1" l="1"/>
  <c r="V134" i="1"/>
  <c r="P161" i="1"/>
  <c r="O161" i="1" a="1"/>
  <c r="O161" i="1" s="1"/>
  <c r="W134" i="1" l="1"/>
  <c r="X134" i="1" s="1"/>
  <c r="V135" i="1" s="1"/>
  <c r="Q161" i="1"/>
  <c r="R161" i="1" s="1"/>
  <c r="O162" i="1" s="1" a="1"/>
  <c r="O162" i="1" s="1"/>
  <c r="A134" i="1" l="1"/>
  <c r="U135" i="1"/>
  <c r="W135" i="1" s="1"/>
  <c r="X135" i="1" s="1"/>
  <c r="P162" i="1"/>
  <c r="Q162" i="1" s="1"/>
  <c r="R162" i="1" s="1"/>
  <c r="A135" i="1" l="1"/>
  <c r="V136" i="1"/>
  <c r="U136" i="1"/>
  <c r="O163" i="1" a="1"/>
  <c r="O163" i="1" s="1"/>
  <c r="P163" i="1"/>
  <c r="W136" i="1" l="1"/>
  <c r="X136" i="1" s="1"/>
  <c r="A136" i="1" s="1"/>
  <c r="Q163" i="1"/>
  <c r="R163" i="1" s="1"/>
  <c r="U137" i="1" l="1"/>
  <c r="V137" i="1"/>
  <c r="O164" i="1" a="1"/>
  <c r="O164" i="1" s="1"/>
  <c r="P164" i="1"/>
  <c r="W137" i="1" l="1"/>
  <c r="X137" i="1" s="1"/>
  <c r="A137" i="1" s="1"/>
  <c r="Q164" i="1"/>
  <c r="R164" i="1" s="1"/>
  <c r="P165" i="1" s="1"/>
  <c r="V138" i="1" l="1"/>
  <c r="U138" i="1"/>
  <c r="O165" i="1" a="1"/>
  <c r="O165" i="1" s="1"/>
  <c r="Q165" i="1" s="1"/>
  <c r="R165" i="1" s="1"/>
  <c r="W138" i="1" l="1"/>
  <c r="X138" i="1" s="1"/>
  <c r="V139" i="1" s="1"/>
  <c r="O166" i="1" a="1"/>
  <c r="O166" i="1" s="1"/>
  <c r="P166" i="1"/>
  <c r="U139" i="1" l="1"/>
  <c r="W139" i="1" s="1"/>
  <c r="X139" i="1" s="1"/>
  <c r="A138" i="1"/>
  <c r="Q166" i="1"/>
  <c r="R166" i="1" s="1"/>
  <c r="O167" i="1" s="1" a="1"/>
  <c r="O167" i="1" s="1"/>
  <c r="U140" i="1" l="1"/>
  <c r="A139" i="1"/>
  <c r="V140" i="1"/>
  <c r="P167" i="1"/>
  <c r="Q167" i="1" s="1"/>
  <c r="R167" i="1" s="1"/>
  <c r="O168" i="1" s="1" a="1"/>
  <c r="O168" i="1" s="1"/>
  <c r="W140" i="1" l="1"/>
  <c r="X140" i="1" s="1"/>
  <c r="A140" i="1" s="1"/>
  <c r="P168" i="1"/>
  <c r="Q168" i="1" s="1"/>
  <c r="R168" i="1" s="1"/>
  <c r="V141" i="1" l="1"/>
  <c r="U141" i="1"/>
  <c r="P169" i="1"/>
  <c r="O169" i="1" a="1"/>
  <c r="O169" i="1" s="1"/>
  <c r="W141" i="1" l="1"/>
  <c r="X141" i="1" s="1"/>
  <c r="A141" i="1" s="1"/>
  <c r="Q169" i="1"/>
  <c r="R169" i="1" s="1"/>
  <c r="P170" i="1" s="1"/>
  <c r="V142" i="1" l="1"/>
  <c r="U142" i="1"/>
  <c r="O170" i="1" a="1"/>
  <c r="O170" i="1" s="1"/>
  <c r="Q170" i="1" s="1"/>
  <c r="R170" i="1" s="1"/>
  <c r="W142" i="1" l="1"/>
  <c r="X142" i="1" s="1"/>
  <c r="A142" i="1" s="1"/>
  <c r="O171" i="1" a="1"/>
  <c r="O171" i="1" s="1"/>
  <c r="P171" i="1"/>
  <c r="V143" i="1" l="1"/>
  <c r="U143" i="1"/>
  <c r="Q171" i="1"/>
  <c r="R171" i="1" s="1"/>
  <c r="O172" i="1" s="1" a="1"/>
  <c r="O172" i="1" s="1"/>
  <c r="W143" i="1" l="1"/>
  <c r="X143" i="1" s="1"/>
  <c r="A143" i="1" s="1"/>
  <c r="P172" i="1"/>
  <c r="Q172" i="1" s="1"/>
  <c r="R172" i="1" s="1"/>
  <c r="U144" i="1" l="1"/>
  <c r="V144" i="1"/>
  <c r="P173" i="1"/>
  <c r="O173" i="1" a="1"/>
  <c r="O173" i="1" s="1"/>
  <c r="W144" i="1" l="1"/>
  <c r="X144" i="1" s="1"/>
  <c r="A144" i="1" s="1"/>
  <c r="Q173" i="1"/>
  <c r="R173" i="1" s="1"/>
  <c r="O174" i="1" s="1" a="1"/>
  <c r="O174" i="1" s="1"/>
  <c r="V145" i="1" l="1"/>
  <c r="U145" i="1"/>
  <c r="P174" i="1"/>
  <c r="Q174" i="1" s="1"/>
  <c r="R174" i="1" s="1"/>
  <c r="W145" i="1" l="1"/>
  <c r="X145" i="1" s="1"/>
  <c r="A145" i="1" s="1"/>
  <c r="O175" i="1" a="1"/>
  <c r="O175" i="1" s="1"/>
  <c r="P175" i="1"/>
  <c r="U146" i="1" l="1"/>
  <c r="V146" i="1"/>
  <c r="Q175" i="1"/>
  <c r="R175" i="1" s="1"/>
  <c r="O176" i="1" s="1" a="1"/>
  <c r="O176" i="1" s="1"/>
  <c r="W146" i="1" l="1"/>
  <c r="X146" i="1" s="1"/>
  <c r="A146" i="1" s="1"/>
  <c r="P176" i="1"/>
  <c r="Q176" i="1" s="1"/>
  <c r="R176" i="1" s="1"/>
  <c r="V147" i="1" l="1"/>
  <c r="U147" i="1"/>
  <c r="P177" i="1"/>
  <c r="O177" i="1" a="1"/>
  <c r="O177" i="1" s="1"/>
  <c r="W147" i="1" l="1"/>
  <c r="X147" i="1" s="1"/>
  <c r="A147" i="1" s="1"/>
  <c r="Q177" i="1"/>
  <c r="R177" i="1" s="1"/>
  <c r="O178" i="1" s="1" a="1"/>
  <c r="O178" i="1" s="1"/>
  <c r="U148" i="1" l="1"/>
  <c r="V148" i="1"/>
  <c r="P178" i="1"/>
  <c r="Q178" i="1" s="1"/>
  <c r="R178" i="1" s="1"/>
  <c r="O179" i="1" s="1" a="1"/>
  <c r="O179" i="1" s="1"/>
  <c r="W148" i="1" l="1"/>
  <c r="X148" i="1" s="1"/>
  <c r="A148" i="1" s="1"/>
  <c r="P179" i="1"/>
  <c r="Q179" i="1" s="1"/>
  <c r="R179" i="1" s="1"/>
  <c r="V149" i="1" l="1"/>
  <c r="U149" i="1"/>
  <c r="O180" i="1" a="1"/>
  <c r="O180" i="1" s="1"/>
  <c r="P180" i="1"/>
  <c r="W149" i="1" l="1"/>
  <c r="X149" i="1" s="1"/>
  <c r="A149" i="1" s="1"/>
  <c r="Q180" i="1"/>
  <c r="R180" i="1" s="1"/>
  <c r="V150" i="1" l="1"/>
  <c r="U150" i="1"/>
  <c r="P181" i="1"/>
  <c r="O181" i="1" a="1"/>
  <c r="O181" i="1" s="1"/>
  <c r="W150" i="1" l="1"/>
  <c r="X150" i="1" s="1"/>
  <c r="A150" i="1" s="1"/>
  <c r="Q181" i="1"/>
  <c r="R181" i="1" s="1"/>
  <c r="O182" i="1" s="1" a="1"/>
  <c r="O182" i="1" s="1"/>
  <c r="V151" i="1" l="1"/>
  <c r="U151" i="1"/>
  <c r="P182" i="1"/>
  <c r="Q182" i="1" s="1"/>
  <c r="R182" i="1" s="1"/>
  <c r="O183" i="1" s="1" a="1"/>
  <c r="O183" i="1" s="1"/>
  <c r="W151" i="1" l="1"/>
  <c r="X151" i="1" s="1"/>
  <c r="A151" i="1" s="1"/>
  <c r="P183" i="1"/>
  <c r="Q183" i="1" s="1"/>
  <c r="R183" i="1" s="1"/>
  <c r="V152" i="1" l="1"/>
  <c r="U152" i="1"/>
  <c r="O184" i="1" a="1"/>
  <c r="O184" i="1" s="1"/>
  <c r="P184" i="1"/>
  <c r="W152" i="1" l="1"/>
  <c r="X152" i="1" s="1"/>
  <c r="A152" i="1" s="1"/>
  <c r="Q184" i="1"/>
  <c r="R184" i="1" s="1"/>
  <c r="V153" i="1" l="1"/>
  <c r="U153" i="1"/>
  <c r="P185" i="1"/>
  <c r="O185" i="1" a="1"/>
  <c r="O185" i="1" s="1"/>
  <c r="W153" i="1" l="1"/>
  <c r="X153" i="1" s="1"/>
  <c r="A153" i="1" s="1"/>
  <c r="Q185" i="1"/>
  <c r="R185" i="1" s="1"/>
  <c r="P186" i="1" s="1"/>
  <c r="V154" i="1" l="1"/>
  <c r="U154" i="1"/>
  <c r="O186" i="1" a="1"/>
  <c r="O186" i="1" s="1"/>
  <c r="Q186" i="1" s="1"/>
  <c r="R186" i="1" s="1"/>
  <c r="W154" i="1" l="1"/>
  <c r="X154" i="1" s="1"/>
  <c r="A154" i="1" s="1"/>
  <c r="O187" i="1" a="1"/>
  <c r="O187" i="1" s="1"/>
  <c r="P187" i="1"/>
  <c r="V155" i="1" l="1"/>
  <c r="U155" i="1"/>
  <c r="Q187" i="1"/>
  <c r="R187" i="1" s="1"/>
  <c r="P188" i="1" s="1"/>
  <c r="W155" i="1" l="1"/>
  <c r="X155" i="1" s="1"/>
  <c r="A155" i="1" s="1"/>
  <c r="O188" i="1" a="1"/>
  <c r="O188" i="1" s="1"/>
  <c r="Q188" i="1" s="1"/>
  <c r="R188" i="1" s="1"/>
  <c r="V156" i="1" l="1"/>
  <c r="U156" i="1"/>
  <c r="P189" i="1"/>
  <c r="O189" i="1" a="1"/>
  <c r="O189" i="1" s="1"/>
  <c r="W156" i="1" l="1"/>
  <c r="X156" i="1" s="1"/>
  <c r="A156" i="1" s="1"/>
  <c r="Q189" i="1"/>
  <c r="R189" i="1" s="1"/>
  <c r="U157" i="1" l="1"/>
  <c r="V157" i="1"/>
  <c r="P190" i="1"/>
  <c r="O190" i="1" a="1"/>
  <c r="O190" i="1" s="1"/>
  <c r="W157" i="1" l="1"/>
  <c r="X157" i="1" s="1"/>
  <c r="A157" i="1" s="1"/>
  <c r="Q190" i="1"/>
  <c r="R190" i="1" s="1"/>
  <c r="V158" i="1" l="1"/>
  <c r="U158" i="1"/>
  <c r="O191" i="1" a="1"/>
  <c r="O191" i="1" s="1"/>
  <c r="P191" i="1"/>
  <c r="W158" i="1" l="1"/>
  <c r="X158" i="1" s="1"/>
  <c r="A158" i="1" s="1"/>
  <c r="Q191" i="1"/>
  <c r="R191" i="1" s="1"/>
  <c r="V159" i="1" l="1"/>
  <c r="U159" i="1"/>
  <c r="O192" i="1" a="1"/>
  <c r="O192" i="1" s="1"/>
  <c r="P192" i="1"/>
  <c r="W159" i="1" l="1"/>
  <c r="X159" i="1" s="1"/>
  <c r="A159" i="1" s="1"/>
  <c r="Q192" i="1"/>
  <c r="R192" i="1" s="1"/>
  <c r="V160" i="1" l="1"/>
  <c r="U160" i="1"/>
  <c r="P193" i="1"/>
  <c r="O193" i="1" a="1"/>
  <c r="O193" i="1" s="1"/>
  <c r="W160" i="1" l="1"/>
  <c r="X160" i="1" s="1"/>
  <c r="A160" i="1" s="1"/>
  <c r="Q193" i="1"/>
  <c r="R193" i="1" s="1"/>
  <c r="O194" i="1" s="1" a="1"/>
  <c r="O194" i="1" s="1"/>
  <c r="U161" i="1" l="1"/>
  <c r="V161" i="1"/>
  <c r="P194" i="1"/>
  <c r="Q194" i="1" s="1"/>
  <c r="R194" i="1" s="1"/>
  <c r="P195" i="1" s="1"/>
  <c r="W161" i="1" l="1"/>
  <c r="X161" i="1" s="1"/>
  <c r="A161" i="1" s="1"/>
  <c r="O195" i="1" a="1"/>
  <c r="O195" i="1" s="1"/>
  <c r="Q195" i="1" s="1"/>
  <c r="R195" i="1" s="1"/>
  <c r="U162" i="1" l="1"/>
  <c r="V162" i="1"/>
  <c r="O196" i="1" a="1"/>
  <c r="O196" i="1" s="1"/>
  <c r="P196" i="1"/>
  <c r="W162" i="1" l="1"/>
  <c r="X162" i="1" s="1"/>
  <c r="A162" i="1" s="1"/>
  <c r="Q196" i="1"/>
  <c r="R196" i="1" s="1"/>
  <c r="V163" i="1" l="1"/>
  <c r="U163" i="1"/>
  <c r="P197" i="1"/>
  <c r="O197" i="1" a="1"/>
  <c r="O197" i="1" s="1"/>
  <c r="W163" i="1" l="1"/>
  <c r="X163" i="1" s="1"/>
  <c r="A163" i="1" s="1"/>
  <c r="Q197" i="1"/>
  <c r="R197" i="1" s="1"/>
  <c r="P198" i="1" s="1"/>
  <c r="V164" i="1" l="1"/>
  <c r="U164" i="1"/>
  <c r="O198" i="1" a="1"/>
  <c r="O198" i="1" s="1"/>
  <c r="Q198" i="1" s="1"/>
  <c r="R198" i="1" s="1"/>
  <c r="W164" i="1" l="1"/>
  <c r="X164" i="1" s="1"/>
  <c r="A164" i="1" s="1"/>
  <c r="O199" i="1" a="1"/>
  <c r="O199" i="1" s="1"/>
  <c r="P199" i="1"/>
  <c r="V165" i="1" l="1"/>
  <c r="U165" i="1"/>
  <c r="Q199" i="1"/>
  <c r="R199" i="1" s="1"/>
  <c r="P200" i="1" s="1"/>
  <c r="W165" i="1" l="1"/>
  <c r="X165" i="1" s="1"/>
  <c r="A165" i="1" s="1"/>
  <c r="O200" i="1" a="1"/>
  <c r="O200" i="1" s="1"/>
  <c r="Q200" i="1" s="1"/>
  <c r="R200" i="1" s="1"/>
  <c r="V166" i="1" l="1"/>
  <c r="U166" i="1"/>
  <c r="P201" i="1"/>
  <c r="O201" i="1" a="1"/>
  <c r="O201" i="1" s="1"/>
  <c r="W166" i="1" l="1"/>
  <c r="X166" i="1" s="1"/>
  <c r="A166" i="1" s="1"/>
  <c r="Q201" i="1"/>
  <c r="R201" i="1" s="1"/>
  <c r="P202" i="1" s="1"/>
  <c r="V167" i="1" l="1"/>
  <c r="U167" i="1"/>
  <c r="O202" i="1" a="1"/>
  <c r="O202" i="1" s="1"/>
  <c r="Q202" i="1" s="1"/>
  <c r="R202" i="1" s="1"/>
  <c r="O203" i="1" s="1" a="1"/>
  <c r="O203" i="1" s="1"/>
  <c r="W167" i="1" l="1"/>
  <c r="X167" i="1" s="1"/>
  <c r="A167" i="1" s="1"/>
  <c r="P203" i="1"/>
  <c r="Q203" i="1" s="1"/>
  <c r="R203" i="1" s="1"/>
  <c r="V168" i="1" l="1"/>
  <c r="U168" i="1"/>
  <c r="O204" i="1" a="1"/>
  <c r="O204" i="1" s="1"/>
  <c r="P204" i="1"/>
  <c r="W168" i="1" l="1"/>
  <c r="X168" i="1" s="1"/>
  <c r="A168" i="1" s="1"/>
  <c r="Q204" i="1"/>
  <c r="R204" i="1" s="1"/>
  <c r="V169" i="1" l="1"/>
  <c r="U169" i="1"/>
  <c r="P205" i="1"/>
  <c r="O205" i="1" a="1"/>
  <c r="O205" i="1" s="1"/>
  <c r="W169" i="1" l="1"/>
  <c r="X169" i="1" s="1"/>
  <c r="A169" i="1" s="1"/>
  <c r="Q205" i="1"/>
  <c r="R205" i="1" s="1"/>
  <c r="P206" i="1" s="1"/>
  <c r="V170" i="1" l="1"/>
  <c r="U170" i="1"/>
  <c r="O206" i="1" a="1"/>
  <c r="O206" i="1" s="1"/>
  <c r="Q206" i="1" s="1"/>
  <c r="R206" i="1" s="1"/>
  <c r="W170" i="1" l="1"/>
  <c r="X170" i="1" s="1"/>
  <c r="A170" i="1" s="1"/>
  <c r="P207" i="1"/>
  <c r="O207" i="1" a="1"/>
  <c r="O207" i="1" s="1"/>
  <c r="U171" i="1" l="1"/>
  <c r="V171" i="1"/>
  <c r="Q207" i="1"/>
  <c r="R207" i="1" s="1"/>
  <c r="O208" i="1" s="1" a="1"/>
  <c r="O208" i="1" s="1"/>
  <c r="W171" i="1" l="1"/>
  <c r="X171" i="1" s="1"/>
  <c r="A171" i="1" s="1"/>
  <c r="P208" i="1"/>
  <c r="Q208" i="1" s="1"/>
  <c r="R208" i="1" s="1"/>
  <c r="V172" i="1" l="1"/>
  <c r="U172" i="1"/>
  <c r="P209" i="1"/>
  <c r="O209" i="1" a="1"/>
  <c r="O209" i="1" s="1"/>
  <c r="W172" i="1" l="1"/>
  <c r="X172" i="1" s="1"/>
  <c r="A172" i="1" s="1"/>
  <c r="Q209" i="1"/>
  <c r="R209" i="1" s="1"/>
  <c r="P210" i="1" s="1"/>
  <c r="V173" i="1" l="1"/>
  <c r="U173" i="1"/>
  <c r="O210" i="1" a="1"/>
  <c r="O210" i="1" s="1"/>
  <c r="Q210" i="1" s="1"/>
  <c r="R210" i="1" s="1"/>
  <c r="O211" i="1" s="1" a="1"/>
  <c r="O211" i="1" s="1"/>
  <c r="W173" i="1" l="1"/>
  <c r="X173" i="1" s="1"/>
  <c r="A173" i="1" s="1"/>
  <c r="P211" i="1"/>
  <c r="Q211" i="1" s="1"/>
  <c r="R211" i="1" s="1"/>
  <c r="U174" i="1" l="1"/>
  <c r="V174" i="1"/>
  <c r="O212" i="1" a="1"/>
  <c r="O212" i="1" s="1"/>
  <c r="P212" i="1"/>
  <c r="W174" i="1" l="1"/>
  <c r="X174" i="1" s="1"/>
  <c r="A174" i="1" s="1"/>
  <c r="Q212" i="1"/>
  <c r="R212" i="1" s="1"/>
  <c r="V175" i="1" l="1"/>
  <c r="U175" i="1"/>
  <c r="P213" i="1"/>
  <c r="O213" i="1" a="1"/>
  <c r="O213" i="1" s="1"/>
  <c r="W175" i="1" l="1"/>
  <c r="X175" i="1" s="1"/>
  <c r="A175" i="1" s="1"/>
  <c r="Q213" i="1"/>
  <c r="R213" i="1" s="1"/>
  <c r="P214" i="1" s="1"/>
  <c r="V176" i="1" l="1"/>
  <c r="U176" i="1"/>
  <c r="O214" i="1" a="1"/>
  <c r="O214" i="1" s="1"/>
  <c r="Q214" i="1" s="1"/>
  <c r="R214" i="1" s="1"/>
  <c r="W176" i="1" l="1"/>
  <c r="X176" i="1" s="1"/>
  <c r="A176" i="1" s="1"/>
  <c r="O215" i="1" a="1"/>
  <c r="O215" i="1" s="1"/>
  <c r="P215" i="1"/>
  <c r="U177" i="1" l="1"/>
  <c r="V177" i="1"/>
  <c r="Q215" i="1"/>
  <c r="R215" i="1" s="1"/>
  <c r="O216" i="1" s="1" a="1"/>
  <c r="O216" i="1" s="1"/>
  <c r="W177" i="1" l="1"/>
  <c r="X177" i="1" s="1"/>
  <c r="A177" i="1" s="1"/>
  <c r="P216" i="1"/>
  <c r="Q216" i="1" s="1"/>
  <c r="R216" i="1" s="1"/>
  <c r="V178" i="1" l="1"/>
  <c r="U178" i="1"/>
  <c r="P217" i="1"/>
  <c r="O217" i="1" a="1"/>
  <c r="O217" i="1" s="1"/>
  <c r="W178" i="1" l="1"/>
  <c r="X178" i="1" s="1"/>
  <c r="A178" i="1" s="1"/>
  <c r="Q217" i="1"/>
  <c r="R217" i="1" s="1"/>
  <c r="P218" i="1" s="1"/>
  <c r="V179" i="1" l="1"/>
  <c r="U179" i="1"/>
  <c r="O218" i="1" a="1"/>
  <c r="O218" i="1" s="1"/>
  <c r="Q218" i="1" s="1"/>
  <c r="R218" i="1" s="1"/>
  <c r="W179" i="1" l="1"/>
  <c r="X179" i="1" s="1"/>
  <c r="A179" i="1" s="1"/>
  <c r="O219" i="1" a="1"/>
  <c r="O219" i="1" s="1"/>
  <c r="P219" i="1"/>
  <c r="V180" i="1" l="1"/>
  <c r="U180" i="1"/>
  <c r="Q219" i="1"/>
  <c r="R219" i="1" s="1"/>
  <c r="O220" i="1" s="1" a="1"/>
  <c r="O220" i="1" s="1"/>
  <c r="W180" i="1" l="1"/>
  <c r="X180" i="1" s="1"/>
  <c r="U181" i="1" s="1"/>
  <c r="P220" i="1"/>
  <c r="Q220" i="1" s="1"/>
  <c r="R220" i="1" s="1"/>
  <c r="V181" i="1" l="1"/>
  <c r="W181" i="1" s="1"/>
  <c r="X181" i="1" s="1"/>
  <c r="A180" i="1"/>
  <c r="P221" i="1"/>
  <c r="O221" i="1" a="1"/>
  <c r="O221" i="1" s="1"/>
  <c r="A181" i="1" l="1"/>
  <c r="V182" i="1"/>
  <c r="U182" i="1"/>
  <c r="Q221" i="1"/>
  <c r="R221" i="1" s="1"/>
  <c r="O222" i="1" s="1" a="1"/>
  <c r="O222" i="1" s="1"/>
  <c r="W182" i="1" l="1"/>
  <c r="X182" i="1" s="1"/>
  <c r="A182" i="1" s="1"/>
  <c r="P222" i="1"/>
  <c r="Q222" i="1" s="1"/>
  <c r="R222" i="1" s="1"/>
  <c r="V183" i="1" l="1"/>
  <c r="U183" i="1"/>
  <c r="O223" i="1" a="1"/>
  <c r="O223" i="1" s="1"/>
  <c r="P223" i="1"/>
  <c r="W183" i="1" l="1"/>
  <c r="X183" i="1" s="1"/>
  <c r="A183" i="1" s="1"/>
  <c r="Q223" i="1"/>
  <c r="R223" i="1" s="1"/>
  <c r="O224" i="1" s="1" a="1"/>
  <c r="O224" i="1" s="1"/>
  <c r="V184" i="1" l="1"/>
  <c r="U184" i="1"/>
  <c r="P224" i="1"/>
  <c r="Q224" i="1" s="1"/>
  <c r="R224" i="1" s="1"/>
  <c r="W184" i="1" l="1"/>
  <c r="X184" i="1" s="1"/>
  <c r="A184" i="1" s="1"/>
  <c r="P225" i="1"/>
  <c r="O225" i="1" a="1"/>
  <c r="O225" i="1" s="1"/>
  <c r="V185" i="1" l="1"/>
  <c r="U185" i="1"/>
  <c r="Q225" i="1"/>
  <c r="R225" i="1" s="1"/>
  <c r="O226" i="1" s="1" a="1"/>
  <c r="O226" i="1" s="1"/>
  <c r="W185" i="1" l="1"/>
  <c r="X185" i="1" s="1"/>
  <c r="A185" i="1" s="1"/>
  <c r="P226" i="1"/>
  <c r="Q226" i="1" s="1"/>
  <c r="R226" i="1" s="1"/>
  <c r="V186" i="1" l="1"/>
  <c r="U186" i="1"/>
  <c r="O227" i="1" a="1"/>
  <c r="O227" i="1" s="1"/>
  <c r="P227" i="1"/>
  <c r="W186" i="1" l="1"/>
  <c r="X186" i="1" s="1"/>
  <c r="A186" i="1" s="1"/>
  <c r="Q227" i="1"/>
  <c r="R227" i="1" s="1"/>
  <c r="O228" i="1" s="1" a="1"/>
  <c r="O228" i="1" s="1"/>
  <c r="V187" i="1" l="1"/>
  <c r="U187" i="1"/>
  <c r="P228" i="1"/>
  <c r="Q228" i="1" s="1"/>
  <c r="R228" i="1" s="1"/>
  <c r="W187" i="1" l="1"/>
  <c r="X187" i="1" s="1"/>
  <c r="A187" i="1" s="1"/>
  <c r="P229" i="1"/>
  <c r="O229" i="1" a="1"/>
  <c r="O229" i="1" s="1"/>
  <c r="V188" i="1" l="1"/>
  <c r="U188" i="1"/>
  <c r="Q229" i="1"/>
  <c r="R229" i="1" s="1"/>
  <c r="O230" i="1" s="1" a="1"/>
  <c r="O230" i="1" s="1"/>
  <c r="W188" i="1" l="1"/>
  <c r="X188" i="1" s="1"/>
  <c r="A188" i="1" s="1"/>
  <c r="P230" i="1"/>
  <c r="Q230" i="1" s="1"/>
  <c r="R230" i="1" s="1"/>
  <c r="O231" i="1" s="1" a="1"/>
  <c r="O231" i="1" s="1"/>
  <c r="V189" i="1" l="1"/>
  <c r="U189" i="1"/>
  <c r="P231" i="1"/>
  <c r="Q231" i="1" s="1"/>
  <c r="R231" i="1" s="1"/>
  <c r="W189" i="1" l="1"/>
  <c r="X189" i="1" s="1"/>
  <c r="A189" i="1" s="1"/>
  <c r="O232" i="1" a="1"/>
  <c r="O232" i="1" s="1"/>
  <c r="P232" i="1"/>
  <c r="V190" i="1" l="1"/>
  <c r="U190" i="1"/>
  <c r="Q232" i="1"/>
  <c r="R232" i="1" s="1"/>
  <c r="W190" i="1" l="1"/>
  <c r="X190" i="1" s="1"/>
  <c r="A190" i="1" s="1"/>
  <c r="P233" i="1"/>
  <c r="O233" i="1" a="1"/>
  <c r="O233" i="1" s="1"/>
  <c r="U191" i="1" l="1"/>
  <c r="V191" i="1"/>
  <c r="Q233" i="1"/>
  <c r="R233" i="1" s="1"/>
  <c r="W191" i="1" l="1"/>
  <c r="X191" i="1" s="1"/>
  <c r="A191" i="1" s="1"/>
  <c r="P234" i="1"/>
  <c r="O234" i="1" a="1"/>
  <c r="O234" i="1" s="1"/>
  <c r="V192" i="1" l="1"/>
  <c r="U192" i="1"/>
  <c r="Q234" i="1"/>
  <c r="R234" i="1" s="1"/>
  <c r="W192" i="1" l="1"/>
  <c r="X192" i="1" s="1"/>
  <c r="A192" i="1" s="1"/>
  <c r="O235" i="1" a="1"/>
  <c r="O235" i="1" s="1"/>
  <c r="P235" i="1"/>
  <c r="U193" i="1" l="1"/>
  <c r="V193" i="1"/>
  <c r="Q235" i="1"/>
  <c r="R235" i="1" s="1"/>
  <c r="W193" i="1" l="1"/>
  <c r="X193" i="1" s="1"/>
  <c r="A193" i="1" s="1"/>
  <c r="O236" i="1" a="1"/>
  <c r="O236" i="1" s="1"/>
  <c r="P236" i="1"/>
  <c r="V194" i="1" l="1"/>
  <c r="U194" i="1"/>
  <c r="Q236" i="1"/>
  <c r="R236" i="1" s="1"/>
  <c r="W194" i="1" l="1"/>
  <c r="X194" i="1" s="1"/>
  <c r="A194" i="1" s="1"/>
  <c r="P237" i="1"/>
  <c r="O237" i="1" a="1"/>
  <c r="O237" i="1" s="1"/>
  <c r="V195" i="1" l="1"/>
  <c r="U195" i="1"/>
  <c r="Q237" i="1"/>
  <c r="R237" i="1" s="1"/>
  <c r="W195" i="1" l="1"/>
  <c r="X195" i="1" s="1"/>
  <c r="A195" i="1" s="1"/>
  <c r="P238" i="1"/>
  <c r="O238" i="1" a="1"/>
  <c r="O238" i="1" s="1"/>
  <c r="V196" i="1" l="1"/>
  <c r="U196" i="1"/>
  <c r="Q238" i="1"/>
  <c r="R238" i="1" s="1"/>
  <c r="O239" i="1" s="1" a="1"/>
  <c r="O239" i="1" s="1"/>
  <c r="W196" i="1" l="1"/>
  <c r="X196" i="1" s="1"/>
  <c r="A196" i="1" s="1"/>
  <c r="P239" i="1"/>
  <c r="Q239" i="1" s="1"/>
  <c r="R239" i="1" s="1"/>
  <c r="V197" i="1" l="1"/>
  <c r="U197" i="1"/>
  <c r="O240" i="1" a="1"/>
  <c r="O240" i="1" s="1"/>
  <c r="P240" i="1"/>
  <c r="W197" i="1" l="1"/>
  <c r="X197" i="1" s="1"/>
  <c r="A197" i="1" s="1"/>
  <c r="V198" i="1"/>
  <c r="U198" i="1"/>
  <c r="Q240" i="1"/>
  <c r="R240" i="1" s="1"/>
  <c r="W198" i="1" l="1"/>
  <c r="X198" i="1" s="1"/>
  <c r="A198" i="1" s="1"/>
  <c r="P241" i="1"/>
  <c r="O241" i="1" a="1"/>
  <c r="O241" i="1" s="1"/>
  <c r="V199" i="1" l="1"/>
  <c r="U199" i="1"/>
  <c r="Q241" i="1"/>
  <c r="R241" i="1" s="1"/>
  <c r="W199" i="1" l="1"/>
  <c r="X199" i="1" s="1"/>
  <c r="A199" i="1" s="1"/>
  <c r="P242" i="1"/>
  <c r="O242" i="1" a="1"/>
  <c r="O242" i="1" s="1"/>
  <c r="V200" i="1" l="1"/>
  <c r="U200" i="1"/>
  <c r="Q242" i="1"/>
  <c r="R242" i="1" s="1"/>
  <c r="W200" i="1" l="1"/>
  <c r="X200" i="1" s="1"/>
  <c r="A200" i="1" s="1"/>
  <c r="O243" i="1" a="1"/>
  <c r="O243" i="1" s="1"/>
  <c r="P243" i="1"/>
  <c r="V201" i="1" l="1"/>
  <c r="U201" i="1"/>
  <c r="Q243" i="1"/>
  <c r="R243" i="1" s="1"/>
  <c r="W201" i="1" l="1"/>
  <c r="X201" i="1" s="1"/>
  <c r="A201" i="1" s="1"/>
  <c r="O244" i="1" a="1"/>
  <c r="O244" i="1" s="1"/>
  <c r="P244" i="1"/>
  <c r="V202" i="1" l="1"/>
  <c r="U202" i="1"/>
  <c r="Q244" i="1"/>
  <c r="R244" i="1" s="1"/>
  <c r="W202" i="1" l="1"/>
  <c r="X202" i="1" s="1"/>
  <c r="A202" i="1" s="1"/>
  <c r="P245" i="1"/>
  <c r="O245" i="1" a="1"/>
  <c r="O245" i="1" s="1"/>
  <c r="V203" i="1" l="1"/>
  <c r="U203" i="1"/>
  <c r="Q245" i="1"/>
  <c r="R245" i="1" s="1"/>
  <c r="O246" i="1" s="1" a="1"/>
  <c r="O246" i="1" s="1"/>
  <c r="W203" i="1" l="1"/>
  <c r="X203" i="1" s="1"/>
  <c r="A203" i="1" s="1"/>
  <c r="P246" i="1"/>
  <c r="Q246" i="1" s="1"/>
  <c r="R246" i="1" s="1"/>
  <c r="V204" i="1" l="1"/>
  <c r="U204" i="1"/>
  <c r="P247" i="1"/>
  <c r="O247" i="1" a="1"/>
  <c r="O247" i="1" s="1"/>
  <c r="W204" i="1" l="1"/>
  <c r="X204" i="1" s="1"/>
  <c r="A204" i="1" s="1"/>
  <c r="Q247" i="1"/>
  <c r="R247" i="1" s="1"/>
  <c r="O248" i="1" s="1" a="1"/>
  <c r="O248" i="1" s="1"/>
  <c r="V205" i="1" l="1"/>
  <c r="U205" i="1"/>
  <c r="P248" i="1"/>
  <c r="Q248" i="1" s="1"/>
  <c r="R248" i="1" s="1"/>
  <c r="W205" i="1" l="1"/>
  <c r="X205" i="1" s="1"/>
  <c r="A205" i="1" s="1"/>
  <c r="O249" i="1" a="1"/>
  <c r="O249" i="1" s="1"/>
  <c r="P249" i="1"/>
  <c r="V206" i="1" l="1"/>
  <c r="U206" i="1"/>
  <c r="Q249" i="1"/>
  <c r="R249" i="1" s="1"/>
  <c r="O250" i="1" s="1" a="1"/>
  <c r="O250" i="1" s="1"/>
  <c r="W206" i="1" l="1"/>
  <c r="X206" i="1" s="1"/>
  <c r="A206" i="1" s="1"/>
  <c r="P250" i="1"/>
  <c r="Q250" i="1" s="1"/>
  <c r="R250" i="1" s="1"/>
  <c r="V207" i="1" l="1"/>
  <c r="U207" i="1"/>
  <c r="P251" i="1"/>
  <c r="O251" i="1" a="1"/>
  <c r="O251" i="1" s="1"/>
  <c r="W207" i="1" l="1"/>
  <c r="X207" i="1" s="1"/>
  <c r="A207" i="1" s="1"/>
  <c r="Q251" i="1"/>
  <c r="R251" i="1" s="1"/>
  <c r="P252" i="1" s="1"/>
  <c r="V208" i="1" l="1"/>
  <c r="U208" i="1"/>
  <c r="O252" i="1" a="1"/>
  <c r="O252" i="1" s="1"/>
  <c r="Q252" i="1" s="1"/>
  <c r="R252" i="1" s="1"/>
  <c r="P253" i="1" s="1"/>
  <c r="W208" i="1" l="1"/>
  <c r="X208" i="1" s="1"/>
  <c r="A208" i="1" s="1"/>
  <c r="O253" i="1" a="1"/>
  <c r="O253" i="1" s="1"/>
  <c r="Q253" i="1" s="1"/>
  <c r="R253" i="1" s="1"/>
  <c r="O254" i="1" s="1" a="1"/>
  <c r="O254" i="1" s="1"/>
  <c r="V209" i="1" l="1"/>
  <c r="U209" i="1"/>
  <c r="P254" i="1"/>
  <c r="Q254" i="1" s="1"/>
  <c r="R254" i="1" s="1"/>
  <c r="O255" i="1" s="1" a="1"/>
  <c r="O255" i="1" s="1"/>
  <c r="W209" i="1" l="1"/>
  <c r="X209" i="1" s="1"/>
  <c r="A209" i="1" s="1"/>
  <c r="P255" i="1"/>
  <c r="Q255" i="1" s="1"/>
  <c r="R255" i="1" s="1"/>
  <c r="O256" i="1" s="1" a="1"/>
  <c r="O256" i="1" s="1"/>
  <c r="U210" i="1" l="1"/>
  <c r="V210" i="1"/>
  <c r="P256" i="1"/>
  <c r="Q256" i="1" s="1"/>
  <c r="R256" i="1" s="1"/>
  <c r="W210" i="1" l="1"/>
  <c r="X210" i="1" s="1"/>
  <c r="A210" i="1" s="1"/>
  <c r="O257" i="1" a="1"/>
  <c r="O257" i="1" s="1"/>
  <c r="P257" i="1"/>
  <c r="V211" i="1" l="1"/>
  <c r="U211" i="1"/>
  <c r="Q257" i="1"/>
  <c r="R257" i="1" s="1"/>
  <c r="O258" i="1" s="1" a="1"/>
  <c r="O258" i="1" s="1"/>
  <c r="W211" i="1" l="1"/>
  <c r="X211" i="1" s="1"/>
  <c r="A211" i="1" s="1"/>
  <c r="P258" i="1"/>
  <c r="Q258" i="1" s="1"/>
  <c r="R258" i="1" s="1"/>
  <c r="U212" i="1" l="1"/>
  <c r="V212" i="1"/>
  <c r="P259" i="1"/>
  <c r="O259" i="1" a="1"/>
  <c r="O259" i="1" s="1"/>
  <c r="W212" i="1" l="1"/>
  <c r="X212" i="1" s="1"/>
  <c r="A212" i="1" s="1"/>
  <c r="Q259" i="1"/>
  <c r="R259" i="1" s="1"/>
  <c r="P260" i="1" s="1"/>
  <c r="V213" i="1" l="1"/>
  <c r="U213" i="1"/>
  <c r="O260" i="1" a="1"/>
  <c r="O260" i="1" s="1"/>
  <c r="Q260" i="1" s="1"/>
  <c r="R260" i="1" s="1"/>
  <c r="O261" i="1" s="1" a="1"/>
  <c r="O261" i="1" s="1"/>
  <c r="W213" i="1" l="1"/>
  <c r="X213" i="1" s="1"/>
  <c r="A213" i="1" s="1"/>
  <c r="P261" i="1"/>
  <c r="Q261" i="1" s="1"/>
  <c r="R261" i="1" s="1"/>
  <c r="U214" i="1" l="1"/>
  <c r="V214" i="1"/>
  <c r="P262" i="1"/>
  <c r="O262" i="1" a="1"/>
  <c r="O262" i="1" s="1"/>
  <c r="W214" i="1" l="1"/>
  <c r="X214" i="1" s="1"/>
  <c r="A214" i="1" s="1"/>
  <c r="Q262" i="1"/>
  <c r="R262" i="1" s="1"/>
  <c r="P263" i="1" s="1"/>
  <c r="U215" i="1" l="1"/>
  <c r="V215" i="1"/>
  <c r="O263" i="1" a="1"/>
  <c r="O263" i="1" s="1"/>
  <c r="Q263" i="1" s="1"/>
  <c r="R263" i="1" s="1"/>
  <c r="O264" i="1" s="1" a="1"/>
  <c r="O264" i="1" s="1"/>
  <c r="W215" i="1" l="1"/>
  <c r="X215" i="1" s="1"/>
  <c r="A215" i="1" s="1"/>
  <c r="P264" i="1"/>
  <c r="Q264" i="1" s="1"/>
  <c r="R264" i="1" s="1"/>
  <c r="V216" i="1" l="1"/>
  <c r="U216" i="1"/>
  <c r="O265" i="1" a="1"/>
  <c r="O265" i="1" s="1"/>
  <c r="P265" i="1"/>
  <c r="W216" i="1" l="1"/>
  <c r="X216" i="1" s="1"/>
  <c r="A216" i="1" s="1"/>
  <c r="Q265" i="1"/>
  <c r="R265" i="1" s="1"/>
  <c r="P266" i="1" s="1"/>
  <c r="U217" i="1" l="1"/>
  <c r="V217" i="1"/>
  <c r="W217" i="1" s="1"/>
  <c r="X217" i="1" s="1"/>
  <c r="A217" i="1" s="1"/>
  <c r="O266" i="1" a="1"/>
  <c r="O266" i="1" s="1"/>
  <c r="Q266" i="1" s="1"/>
  <c r="R266" i="1" s="1"/>
  <c r="V218" i="1" l="1"/>
  <c r="U218" i="1"/>
  <c r="P267" i="1"/>
  <c r="O267" i="1" a="1"/>
  <c r="O267" i="1" s="1"/>
  <c r="W218" i="1" l="1"/>
  <c r="X218" i="1" s="1"/>
  <c r="A218" i="1" s="1"/>
  <c r="Q267" i="1"/>
  <c r="R267" i="1" s="1"/>
  <c r="O268" i="1" s="1" a="1"/>
  <c r="O268" i="1" s="1"/>
  <c r="U219" i="1" l="1"/>
  <c r="V219" i="1"/>
  <c r="P268" i="1"/>
  <c r="Q268" i="1" s="1"/>
  <c r="R268" i="1" s="1"/>
  <c r="O269" i="1" s="1" a="1"/>
  <c r="O269" i="1" s="1"/>
  <c r="W219" i="1" l="1"/>
  <c r="X219" i="1" s="1"/>
  <c r="A219" i="1" s="1"/>
  <c r="P269" i="1"/>
  <c r="Q269" i="1" s="1"/>
  <c r="R269" i="1" s="1"/>
  <c r="V220" i="1" l="1"/>
  <c r="U220" i="1"/>
  <c r="P270" i="1"/>
  <c r="O270" i="1" a="1"/>
  <c r="O270" i="1" s="1"/>
  <c r="W220" i="1" l="1"/>
  <c r="X220" i="1" s="1"/>
  <c r="A220" i="1" s="1"/>
  <c r="Q270" i="1"/>
  <c r="R270" i="1" s="1"/>
  <c r="P271" i="1" s="1"/>
  <c r="U221" i="1" l="1"/>
  <c r="V221" i="1"/>
  <c r="O271" i="1" a="1"/>
  <c r="O271" i="1" s="1"/>
  <c r="Q271" i="1" s="1"/>
  <c r="R271" i="1" s="1"/>
  <c r="W221" i="1" l="1"/>
  <c r="X221" i="1" s="1"/>
  <c r="A221" i="1" s="1"/>
  <c r="O272" i="1" a="1"/>
  <c r="O272" i="1" s="1"/>
  <c r="P272" i="1"/>
  <c r="V222" i="1" l="1"/>
  <c r="U222" i="1"/>
  <c r="Q272" i="1"/>
  <c r="R272" i="1" s="1"/>
  <c r="O273" i="1" s="1" a="1"/>
  <c r="O273" i="1" s="1"/>
  <c r="W222" i="1" l="1"/>
  <c r="X222" i="1" s="1"/>
  <c r="A222" i="1" s="1"/>
  <c r="P273" i="1"/>
  <c r="Q273" i="1" s="1"/>
  <c r="R273" i="1" s="1"/>
  <c r="O274" i="1" s="1" a="1"/>
  <c r="O274" i="1" s="1"/>
  <c r="V223" i="1" l="1"/>
  <c r="U223" i="1"/>
  <c r="P274" i="1"/>
  <c r="Q274" i="1" s="1"/>
  <c r="R274" i="1" s="1"/>
  <c r="W223" i="1" l="1"/>
  <c r="X223" i="1" s="1"/>
  <c r="A223" i="1" s="1"/>
  <c r="P275" i="1"/>
  <c r="O275" i="1" a="1"/>
  <c r="O275" i="1" s="1"/>
  <c r="U224" i="1" l="1"/>
  <c r="V224" i="1"/>
  <c r="Q275" i="1"/>
  <c r="R275" i="1" s="1"/>
  <c r="P276" i="1" s="1"/>
  <c r="W224" i="1" l="1"/>
  <c r="X224" i="1" s="1"/>
  <c r="A224" i="1" s="1"/>
  <c r="O276" i="1" a="1"/>
  <c r="O276" i="1" s="1"/>
  <c r="Q276" i="1" s="1"/>
  <c r="R276" i="1" s="1"/>
  <c r="V225" i="1" l="1"/>
  <c r="U225" i="1"/>
  <c r="O277" i="1" a="1"/>
  <c r="O277" i="1" s="1"/>
  <c r="P277" i="1"/>
  <c r="W225" i="1" l="1"/>
  <c r="X225" i="1" s="1"/>
  <c r="A225" i="1" s="1"/>
  <c r="Q277" i="1"/>
  <c r="R277" i="1" s="1"/>
  <c r="U226" i="1" l="1"/>
  <c r="V226" i="1"/>
  <c r="P278" i="1"/>
  <c r="O278" i="1" a="1"/>
  <c r="O278" i="1" s="1"/>
  <c r="W226" i="1" l="1"/>
  <c r="X226" i="1" s="1"/>
  <c r="A226" i="1" s="1"/>
  <c r="Q278" i="1"/>
  <c r="R278" i="1" s="1"/>
  <c r="P279" i="1" s="1"/>
  <c r="V227" i="1" l="1"/>
  <c r="U227" i="1"/>
  <c r="O279" i="1" a="1"/>
  <c r="O279" i="1" s="1"/>
  <c r="Q279" i="1" s="1"/>
  <c r="R279" i="1" s="1"/>
  <c r="W227" i="1" l="1"/>
  <c r="X227" i="1" s="1"/>
  <c r="A227" i="1" s="1"/>
  <c r="P280" i="1"/>
  <c r="O280" i="1" a="1"/>
  <c r="O280" i="1" s="1"/>
  <c r="U228" i="1" l="1"/>
  <c r="V228" i="1"/>
  <c r="Q280" i="1"/>
  <c r="R280" i="1" s="1"/>
  <c r="O281" i="1" s="1" a="1"/>
  <c r="O281" i="1" s="1"/>
  <c r="W228" i="1" l="1"/>
  <c r="X228" i="1" s="1"/>
  <c r="A228" i="1" s="1"/>
  <c r="P281" i="1"/>
  <c r="Q281" i="1" s="1"/>
  <c r="R281" i="1" s="1"/>
  <c r="O282" i="1" s="1" a="1"/>
  <c r="O282" i="1" s="1"/>
  <c r="V229" i="1" l="1"/>
  <c r="U229" i="1"/>
  <c r="P282" i="1"/>
  <c r="Q282" i="1" s="1"/>
  <c r="R282" i="1" s="1"/>
  <c r="W229" i="1" l="1"/>
  <c r="X229" i="1" s="1"/>
  <c r="A229" i="1" s="1"/>
  <c r="P283" i="1"/>
  <c r="O283" i="1" a="1"/>
  <c r="O283" i="1" s="1"/>
  <c r="V230" i="1" l="1"/>
  <c r="U230" i="1"/>
  <c r="Q283" i="1"/>
  <c r="R283" i="1" s="1"/>
  <c r="O284" i="1" s="1" a="1"/>
  <c r="O284" i="1" s="1"/>
  <c r="W230" i="1" l="1"/>
  <c r="X230" i="1" s="1"/>
  <c r="A230" i="1" s="1"/>
  <c r="V231" i="1"/>
  <c r="U231" i="1"/>
  <c r="P284" i="1"/>
  <c r="Q284" i="1" s="1"/>
  <c r="R284" i="1" s="1"/>
  <c r="W231" i="1" l="1"/>
  <c r="X231" i="1" s="1"/>
  <c r="A231" i="1" s="1"/>
  <c r="P285" i="1"/>
  <c r="O285" i="1" a="1"/>
  <c r="O285" i="1" s="1"/>
  <c r="V232" i="1" l="1"/>
  <c r="U232" i="1"/>
  <c r="Q285" i="1"/>
  <c r="R285" i="1" s="1"/>
  <c r="P286" i="1" s="1"/>
  <c r="W232" i="1" l="1"/>
  <c r="X232" i="1" s="1"/>
  <c r="A232" i="1" s="1"/>
  <c r="O286" i="1" a="1"/>
  <c r="O286" i="1" s="1"/>
  <c r="Q286" i="1" s="1"/>
  <c r="R286" i="1" s="1"/>
  <c r="V233" i="1" l="1"/>
  <c r="U233" i="1"/>
  <c r="P287" i="1"/>
  <c r="O287" i="1" a="1"/>
  <c r="O287" i="1" s="1"/>
  <c r="W233" i="1" l="1"/>
  <c r="X233" i="1" s="1"/>
  <c r="A233" i="1" s="1"/>
  <c r="Q287" i="1"/>
  <c r="R287" i="1" s="1"/>
  <c r="P288" i="1" s="1"/>
  <c r="U234" i="1" l="1"/>
  <c r="V234" i="1"/>
  <c r="O288" i="1" a="1"/>
  <c r="O288" i="1" s="1"/>
  <c r="Q288" i="1" s="1"/>
  <c r="R288" i="1" s="1"/>
  <c r="W234" i="1" l="1"/>
  <c r="X234" i="1" s="1"/>
  <c r="A234" i="1" s="1"/>
  <c r="O289" i="1" a="1"/>
  <c r="O289" i="1" s="1"/>
  <c r="P289" i="1"/>
  <c r="V235" i="1" l="1"/>
  <c r="U235" i="1"/>
  <c r="Q289" i="1"/>
  <c r="R289" i="1" s="1"/>
  <c r="O290" i="1" s="1" a="1"/>
  <c r="O290" i="1" s="1"/>
  <c r="W235" i="1" l="1"/>
  <c r="X235" i="1" s="1"/>
  <c r="A235" i="1" s="1"/>
  <c r="P290" i="1"/>
  <c r="Q290" i="1" s="1"/>
  <c r="R290" i="1" s="1"/>
  <c r="V236" i="1" l="1"/>
  <c r="U236" i="1"/>
  <c r="P291" i="1"/>
  <c r="O291" i="1" a="1"/>
  <c r="O291" i="1" s="1"/>
  <c r="W236" i="1" l="1"/>
  <c r="X236" i="1" s="1"/>
  <c r="A236" i="1" s="1"/>
  <c r="Q291" i="1"/>
  <c r="R291" i="1" s="1"/>
  <c r="O292" i="1" s="1" a="1"/>
  <c r="O292" i="1" s="1"/>
  <c r="U237" i="1" l="1"/>
  <c r="V237" i="1"/>
  <c r="P292" i="1"/>
  <c r="Q292" i="1" s="1"/>
  <c r="R292" i="1" s="1"/>
  <c r="O293" i="1" s="1" a="1"/>
  <c r="O293" i="1" s="1"/>
  <c r="W237" i="1" l="1"/>
  <c r="X237" i="1" s="1"/>
  <c r="A237" i="1" s="1"/>
  <c r="P293" i="1"/>
  <c r="Q293" i="1" s="1"/>
  <c r="R293" i="1" s="1"/>
  <c r="V238" i="1" l="1"/>
  <c r="U238" i="1"/>
  <c r="O294" i="1" a="1"/>
  <c r="O294" i="1" s="1"/>
  <c r="P294" i="1"/>
  <c r="W238" i="1" l="1"/>
  <c r="X238" i="1" s="1"/>
  <c r="U239" i="1" s="1"/>
  <c r="Q294" i="1"/>
  <c r="R294" i="1" s="1"/>
  <c r="V239" i="1" l="1"/>
  <c r="W239" i="1" s="1"/>
  <c r="X239" i="1" s="1"/>
  <c r="A238" i="1"/>
  <c r="P295" i="1"/>
  <c r="O295" i="1" a="1"/>
  <c r="O295" i="1" s="1"/>
  <c r="U240" i="1" l="1"/>
  <c r="A239" i="1"/>
  <c r="V240" i="1"/>
  <c r="Q295" i="1"/>
  <c r="R295" i="1" s="1"/>
  <c r="O296" i="1" s="1" a="1"/>
  <c r="O296" i="1" s="1"/>
  <c r="W240" i="1" l="1"/>
  <c r="X240" i="1" s="1"/>
  <c r="A240" i="1" s="1"/>
  <c r="P296" i="1"/>
  <c r="Q296" i="1" s="1"/>
  <c r="R296" i="1" s="1"/>
  <c r="O297" i="1" s="1" a="1"/>
  <c r="O297" i="1" s="1"/>
  <c r="V241" i="1" l="1"/>
  <c r="U241" i="1"/>
  <c r="P297" i="1"/>
  <c r="Q297" i="1" s="1"/>
  <c r="R297" i="1" s="1"/>
  <c r="W241" i="1" l="1"/>
  <c r="X241" i="1" s="1"/>
  <c r="A241" i="1" s="1"/>
  <c r="O298" i="1" a="1"/>
  <c r="O298" i="1" s="1"/>
  <c r="P298" i="1"/>
  <c r="U242" i="1" l="1"/>
  <c r="V242" i="1"/>
  <c r="Q298" i="1"/>
  <c r="R298" i="1" s="1"/>
  <c r="W242" i="1" l="1"/>
  <c r="X242" i="1" s="1"/>
  <c r="A242" i="1" s="1"/>
  <c r="P299" i="1"/>
  <c r="O299" i="1" a="1"/>
  <c r="O299" i="1" s="1"/>
  <c r="V243" i="1" l="1"/>
  <c r="U243" i="1"/>
  <c r="Q299" i="1"/>
  <c r="R299" i="1" s="1"/>
  <c r="O300" i="1" s="1" a="1"/>
  <c r="O300" i="1" s="1"/>
  <c r="W243" i="1" l="1"/>
  <c r="X243" i="1" s="1"/>
  <c r="A243" i="1" s="1"/>
  <c r="P300" i="1"/>
  <c r="Q300" i="1" s="1"/>
  <c r="R300" i="1" s="1"/>
  <c r="O301" i="1" s="1" a="1"/>
  <c r="O301" i="1" s="1"/>
  <c r="V244" i="1" l="1"/>
  <c r="U244" i="1"/>
  <c r="P301" i="1"/>
  <c r="Q301" i="1" s="1"/>
  <c r="R301" i="1" s="1"/>
  <c r="W244" i="1" l="1"/>
  <c r="X244" i="1" s="1"/>
  <c r="A244" i="1" s="1"/>
  <c r="O302" i="1" a="1"/>
  <c r="O302" i="1" s="1"/>
  <c r="P302" i="1"/>
  <c r="U245" i="1" l="1"/>
  <c r="V245" i="1"/>
  <c r="Q302" i="1"/>
  <c r="R302" i="1" s="1"/>
  <c r="W245" i="1" l="1"/>
  <c r="X245" i="1" s="1"/>
  <c r="A245" i="1" s="1"/>
  <c r="P303" i="1"/>
  <c r="O303" i="1" a="1"/>
  <c r="O303" i="1" s="1"/>
  <c r="V246" i="1" l="1"/>
  <c r="U246" i="1"/>
  <c r="Q303" i="1"/>
  <c r="R303" i="1" s="1"/>
  <c r="O304" i="1" s="1" a="1"/>
  <c r="O304" i="1" s="1"/>
  <c r="W246" i="1" l="1"/>
  <c r="X246" i="1" s="1"/>
  <c r="A246" i="1" s="1"/>
  <c r="P304" i="1"/>
  <c r="Q304" i="1" s="1"/>
  <c r="R304" i="1" s="1"/>
  <c r="O305" i="1" s="1" a="1"/>
  <c r="O305" i="1" s="1"/>
  <c r="V247" i="1" l="1"/>
  <c r="U247" i="1"/>
  <c r="P305" i="1"/>
  <c r="Q305" i="1" s="1"/>
  <c r="R305" i="1" s="1"/>
  <c r="W247" i="1" l="1"/>
  <c r="X247" i="1" s="1"/>
  <c r="A247" i="1" s="1"/>
  <c r="O306" i="1" a="1"/>
  <c r="O306" i="1" s="1"/>
  <c r="P306" i="1"/>
  <c r="V248" i="1" l="1"/>
  <c r="U248" i="1"/>
  <c r="Q306" i="1"/>
  <c r="R306" i="1" s="1"/>
  <c r="W248" i="1" l="1"/>
  <c r="X248" i="1" s="1"/>
  <c r="A248" i="1"/>
  <c r="V249" i="1"/>
  <c r="U249" i="1"/>
  <c r="P307" i="1"/>
  <c r="O307" i="1" a="1"/>
  <c r="O307" i="1" s="1"/>
  <c r="W249" i="1" l="1"/>
  <c r="X249" i="1" s="1"/>
  <c r="A249" i="1" s="1"/>
  <c r="Q307" i="1"/>
  <c r="R307" i="1" s="1"/>
  <c r="O308" i="1" s="1" a="1"/>
  <c r="O308" i="1" s="1"/>
  <c r="V250" i="1" l="1"/>
  <c r="U250" i="1"/>
  <c r="P308" i="1"/>
  <c r="Q308" i="1" s="1"/>
  <c r="R308" i="1" s="1"/>
  <c r="O309" i="1" s="1" a="1"/>
  <c r="O309" i="1" s="1"/>
  <c r="W250" i="1" l="1"/>
  <c r="X250" i="1" s="1"/>
  <c r="A250" i="1" s="1"/>
  <c r="V251" i="1"/>
  <c r="P309" i="1"/>
  <c r="Q309" i="1" s="1"/>
  <c r="R309" i="1" s="1"/>
  <c r="U251" i="1" l="1"/>
  <c r="W251" i="1" s="1"/>
  <c r="X251" i="1" s="1"/>
  <c r="A251" i="1" s="1"/>
  <c r="O310" i="1" a="1"/>
  <c r="O310" i="1" s="1"/>
  <c r="P310" i="1"/>
  <c r="U252" i="1" l="1"/>
  <c r="V252" i="1"/>
  <c r="Q310" i="1"/>
  <c r="R310" i="1" s="1"/>
  <c r="W252" i="1" l="1"/>
  <c r="X252" i="1" s="1"/>
  <c r="A252" i="1" s="1"/>
  <c r="P311" i="1"/>
  <c r="O311" i="1" a="1"/>
  <c r="O311" i="1" s="1"/>
  <c r="V253" i="1" l="1"/>
  <c r="U253" i="1"/>
  <c r="Q311" i="1"/>
  <c r="R311" i="1" s="1"/>
  <c r="P312" i="1" s="1"/>
  <c r="W253" i="1" l="1"/>
  <c r="X253" i="1" s="1"/>
  <c r="A253" i="1" s="1"/>
  <c r="O312" i="1" a="1"/>
  <c r="O312" i="1" s="1"/>
  <c r="Q312" i="1" s="1"/>
  <c r="R312" i="1" s="1"/>
  <c r="V254" i="1" l="1"/>
  <c r="U254" i="1"/>
  <c r="O313" i="1" a="1"/>
  <c r="O313" i="1" s="1"/>
  <c r="P313" i="1"/>
  <c r="W254" i="1" l="1"/>
  <c r="X254" i="1" s="1"/>
  <c r="A254" i="1" s="1"/>
  <c r="Q313" i="1"/>
  <c r="R313" i="1" s="1"/>
  <c r="O314" i="1" s="1" a="1"/>
  <c r="O314" i="1" s="1"/>
  <c r="U255" i="1" l="1"/>
  <c r="V255" i="1"/>
  <c r="P314" i="1"/>
  <c r="Q314" i="1" s="1"/>
  <c r="R314" i="1" s="1"/>
  <c r="W255" i="1" l="1"/>
  <c r="X255" i="1" s="1"/>
  <c r="A255" i="1" s="1"/>
  <c r="P315" i="1"/>
  <c r="O315" i="1" a="1"/>
  <c r="O315" i="1" s="1"/>
  <c r="V256" i="1" l="1"/>
  <c r="U256" i="1"/>
  <c r="Q315" i="1"/>
  <c r="R315" i="1" s="1"/>
  <c r="W256" i="1" l="1"/>
  <c r="X256" i="1" s="1"/>
  <c r="A256" i="1" s="1"/>
  <c r="P316" i="1"/>
  <c r="O316" i="1" a="1"/>
  <c r="O316" i="1" s="1"/>
  <c r="U257" i="1" l="1"/>
  <c r="V257" i="1"/>
  <c r="Q316" i="1"/>
  <c r="R316" i="1" s="1"/>
  <c r="W257" i="1" l="1"/>
  <c r="X257" i="1" s="1"/>
  <c r="A257" i="1" s="1"/>
  <c r="O317" i="1" a="1"/>
  <c r="O317" i="1" s="1"/>
  <c r="P317" i="1"/>
  <c r="U258" i="1" l="1"/>
  <c r="V258" i="1"/>
  <c r="Q317" i="1"/>
  <c r="R317" i="1" s="1"/>
  <c r="W258" i="1" l="1"/>
  <c r="X258" i="1" s="1"/>
  <c r="A258" i="1" s="1"/>
  <c r="O318" i="1" a="1"/>
  <c r="O318" i="1" s="1"/>
  <c r="P318" i="1"/>
  <c r="V259" i="1" l="1"/>
  <c r="U259" i="1"/>
  <c r="Q318" i="1"/>
  <c r="R318" i="1" s="1"/>
  <c r="W259" i="1" l="1"/>
  <c r="X259" i="1" s="1"/>
  <c r="A259" i="1" s="1"/>
  <c r="P319" i="1"/>
  <c r="O319" i="1" a="1"/>
  <c r="O319" i="1" s="1"/>
  <c r="V260" i="1" l="1"/>
  <c r="U260" i="1"/>
  <c r="Q319" i="1"/>
  <c r="R319" i="1" s="1"/>
  <c r="P320" i="1" s="1"/>
  <c r="W260" i="1" l="1"/>
  <c r="X260" i="1" s="1"/>
  <c r="A260" i="1" s="1"/>
  <c r="O320" i="1" a="1"/>
  <c r="O320" i="1" s="1"/>
  <c r="Q320" i="1" s="1"/>
  <c r="R320" i="1" s="1"/>
  <c r="V261" i="1" l="1"/>
  <c r="U261" i="1"/>
  <c r="O321" i="1" a="1"/>
  <c r="O321" i="1" s="1"/>
  <c r="P321" i="1"/>
  <c r="W261" i="1" l="1"/>
  <c r="X261" i="1" s="1"/>
  <c r="A261" i="1" s="1"/>
  <c r="Q321" i="1"/>
  <c r="R321" i="1" s="1"/>
  <c r="V262" i="1" l="1"/>
  <c r="U262" i="1"/>
  <c r="O322" i="1" a="1"/>
  <c r="O322" i="1" s="1"/>
  <c r="P322" i="1"/>
  <c r="W262" i="1" l="1"/>
  <c r="X262" i="1" s="1"/>
  <c r="A262" i="1" s="1"/>
  <c r="Q322" i="1"/>
  <c r="R322" i="1" s="1"/>
  <c r="V263" i="1" l="1"/>
  <c r="U263" i="1"/>
  <c r="P323" i="1"/>
  <c r="O323" i="1" a="1"/>
  <c r="O323" i="1" s="1"/>
  <c r="W263" i="1" l="1"/>
  <c r="X263" i="1" s="1"/>
  <c r="A263" i="1" s="1"/>
  <c r="Q323" i="1"/>
  <c r="R323" i="1" s="1"/>
  <c r="O324" i="1" s="1" a="1"/>
  <c r="O324" i="1" s="1"/>
  <c r="U264" i="1" l="1"/>
  <c r="V264" i="1"/>
  <c r="P324" i="1"/>
  <c r="Q324" i="1" s="1"/>
  <c r="R324" i="1" s="1"/>
  <c r="O325" i="1" s="1" a="1"/>
  <c r="O325" i="1" s="1"/>
  <c r="W264" i="1" l="1"/>
  <c r="X264" i="1" s="1"/>
  <c r="A264" i="1" s="1"/>
  <c r="P325" i="1"/>
  <c r="Q325" i="1" s="1"/>
  <c r="R325" i="1" s="1"/>
  <c r="V265" i="1" l="1"/>
  <c r="U265" i="1"/>
  <c r="O326" i="1" a="1"/>
  <c r="O326" i="1" s="1"/>
  <c r="P326" i="1"/>
  <c r="W265" i="1" l="1"/>
  <c r="X265" i="1" s="1"/>
  <c r="A265" i="1" s="1"/>
  <c r="Q326" i="1"/>
  <c r="R326" i="1" s="1"/>
  <c r="U266" i="1" l="1"/>
  <c r="V266" i="1"/>
  <c r="P327" i="1"/>
  <c r="O327" i="1" a="1"/>
  <c r="O327" i="1" s="1"/>
  <c r="W266" i="1" l="1"/>
  <c r="X266" i="1" s="1"/>
  <c r="A266" i="1" s="1"/>
  <c r="Q327" i="1"/>
  <c r="R327" i="1" s="1"/>
  <c r="V267" i="1" l="1"/>
  <c r="U267" i="1"/>
  <c r="P328" i="1"/>
  <c r="O328" i="1" a="1"/>
  <c r="O328" i="1" s="1"/>
  <c r="W267" i="1" l="1"/>
  <c r="X267" i="1" s="1"/>
  <c r="A267" i="1" s="1"/>
  <c r="Q328" i="1"/>
  <c r="R328" i="1" s="1"/>
  <c r="U268" i="1" l="1"/>
  <c r="V268" i="1"/>
  <c r="O329" i="1" a="1"/>
  <c r="O329" i="1" s="1"/>
  <c r="P329" i="1"/>
  <c r="W268" i="1" l="1"/>
  <c r="X268" i="1" s="1"/>
  <c r="A268" i="1" s="1"/>
  <c r="Q329" i="1"/>
  <c r="R329" i="1" s="1"/>
  <c r="U269" i="1" l="1"/>
  <c r="V269" i="1"/>
  <c r="O330" i="1" a="1"/>
  <c r="O330" i="1" s="1"/>
  <c r="P330" i="1"/>
  <c r="W269" i="1" l="1"/>
  <c r="X269" i="1" s="1"/>
  <c r="A269" i="1" s="1"/>
  <c r="Q330" i="1"/>
  <c r="R330" i="1" s="1"/>
  <c r="U270" i="1" l="1"/>
  <c r="V270" i="1"/>
  <c r="P331" i="1"/>
  <c r="O331" i="1" a="1"/>
  <c r="O331" i="1" s="1"/>
  <c r="W270" i="1" l="1"/>
  <c r="X270" i="1" s="1"/>
  <c r="A270" i="1" s="1"/>
  <c r="Q331" i="1"/>
  <c r="R331" i="1" s="1"/>
  <c r="O332" i="1" s="1" a="1"/>
  <c r="O332" i="1" s="1"/>
  <c r="V271" i="1" l="1"/>
  <c r="U271" i="1"/>
  <c r="P332" i="1"/>
  <c r="Q332" i="1" s="1"/>
  <c r="R332" i="1" s="1"/>
  <c r="W271" i="1" l="1"/>
  <c r="X271" i="1" s="1"/>
  <c r="A271" i="1" s="1"/>
  <c r="O333" i="1" a="1"/>
  <c r="O333" i="1" s="1"/>
  <c r="P333" i="1"/>
  <c r="U272" i="1" l="1"/>
  <c r="V272" i="1"/>
  <c r="Q333" i="1"/>
  <c r="R333" i="1" s="1"/>
  <c r="O334" i="1" s="1" a="1"/>
  <c r="O334" i="1" s="1"/>
  <c r="W272" i="1" l="1"/>
  <c r="X272" i="1" s="1"/>
  <c r="A272" i="1" s="1"/>
  <c r="P334" i="1"/>
  <c r="Q334" i="1" s="1"/>
  <c r="R334" i="1" s="1"/>
  <c r="V273" i="1" l="1"/>
  <c r="U273" i="1"/>
  <c r="P335" i="1"/>
  <c r="O335" i="1" a="1"/>
  <c r="O335" i="1" s="1"/>
  <c r="W273" i="1" l="1"/>
  <c r="X273" i="1" s="1"/>
  <c r="A273" i="1" s="1"/>
  <c r="Q335" i="1"/>
  <c r="R335" i="1" s="1"/>
  <c r="O336" i="1" s="1" a="1"/>
  <c r="O336" i="1" s="1"/>
  <c r="V274" i="1" l="1"/>
  <c r="U274" i="1"/>
  <c r="P336" i="1"/>
  <c r="Q336" i="1" s="1"/>
  <c r="R336" i="1" s="1"/>
  <c r="P337" i="1" s="1"/>
  <c r="W274" i="1" l="1"/>
  <c r="X274" i="1" s="1"/>
  <c r="A274" i="1" s="1"/>
  <c r="O337" i="1" a="1"/>
  <c r="O337" i="1" s="1"/>
  <c r="Q337" i="1" s="1"/>
  <c r="R337" i="1" s="1"/>
  <c r="V275" i="1" l="1"/>
  <c r="U275" i="1"/>
  <c r="O338" i="1" a="1"/>
  <c r="O338" i="1" s="1"/>
  <c r="P338" i="1"/>
  <c r="W275" i="1" l="1"/>
  <c r="X275" i="1" s="1"/>
  <c r="A275" i="1" s="1"/>
  <c r="Q338" i="1"/>
  <c r="R338" i="1" s="1"/>
  <c r="U276" i="1" l="1"/>
  <c r="V276" i="1"/>
  <c r="P339" i="1"/>
  <c r="O339" i="1" a="1"/>
  <c r="O339" i="1" s="1"/>
  <c r="W276" i="1" l="1"/>
  <c r="X276" i="1" s="1"/>
  <c r="A276" i="1" s="1"/>
  <c r="Q339" i="1"/>
  <c r="R339" i="1" s="1"/>
  <c r="O340" i="1" s="1" a="1"/>
  <c r="O340" i="1" s="1"/>
  <c r="U277" i="1" l="1"/>
  <c r="V277" i="1"/>
  <c r="P340" i="1"/>
  <c r="Q340" i="1" s="1"/>
  <c r="R340" i="1" s="1"/>
  <c r="O341" i="1" s="1" a="1"/>
  <c r="O341" i="1" s="1"/>
  <c r="W277" i="1" l="1"/>
  <c r="X277" i="1" s="1"/>
  <c r="A277" i="1" s="1"/>
  <c r="P341" i="1"/>
  <c r="Q341" i="1" s="1"/>
  <c r="R341" i="1" s="1"/>
  <c r="O342" i="1" s="1" a="1"/>
  <c r="O342" i="1" s="1"/>
  <c r="U278" i="1" l="1"/>
  <c r="V278" i="1"/>
  <c r="P342" i="1"/>
  <c r="Q342" i="1" s="1"/>
  <c r="R342" i="1" s="1"/>
  <c r="W278" i="1" l="1"/>
  <c r="X278" i="1" s="1"/>
  <c r="A278" i="1" s="1"/>
  <c r="P343" i="1"/>
  <c r="O343" i="1" a="1"/>
  <c r="O343" i="1" s="1"/>
  <c r="U279" i="1" l="1"/>
  <c r="V279" i="1"/>
  <c r="Q343" i="1"/>
  <c r="R343" i="1" s="1"/>
  <c r="W279" i="1" l="1"/>
  <c r="X279" i="1" s="1"/>
  <c r="A279" i="1" s="1"/>
  <c r="P344" i="1"/>
  <c r="O344" i="1" a="1"/>
  <c r="O344" i="1" s="1"/>
  <c r="V280" i="1" l="1"/>
  <c r="U280" i="1"/>
  <c r="Q344" i="1"/>
  <c r="R344" i="1" s="1"/>
  <c r="P345" i="1" s="1"/>
  <c r="W280" i="1" l="1"/>
  <c r="X280" i="1" s="1"/>
  <c r="A280" i="1" s="1"/>
  <c r="O345" i="1" a="1"/>
  <c r="O345" i="1" s="1"/>
  <c r="Q345" i="1" s="1"/>
  <c r="R345" i="1" s="1"/>
  <c r="U281" i="1" l="1"/>
  <c r="V281" i="1"/>
  <c r="P346" i="1"/>
  <c r="O346" i="1" a="1"/>
  <c r="O346" i="1" s="1"/>
  <c r="W281" i="1" l="1"/>
  <c r="X281" i="1" s="1"/>
  <c r="A281" i="1" s="1"/>
  <c r="Q346" i="1"/>
  <c r="R346" i="1" s="1"/>
  <c r="O347" i="1" s="1" a="1"/>
  <c r="O347" i="1" s="1"/>
  <c r="V282" i="1" l="1"/>
  <c r="U282" i="1"/>
  <c r="P347" i="1"/>
  <c r="Q347" i="1" s="1"/>
  <c r="R347" i="1" s="1"/>
  <c r="O348" i="1" s="1" a="1"/>
  <c r="O348" i="1" s="1"/>
  <c r="W282" i="1" l="1"/>
  <c r="X282" i="1" s="1"/>
  <c r="A282" i="1" s="1"/>
  <c r="P348" i="1"/>
  <c r="Q348" i="1" s="1"/>
  <c r="R348" i="1" s="1"/>
  <c r="V283" i="1" l="1"/>
  <c r="U283" i="1"/>
  <c r="O349" i="1" a="1"/>
  <c r="O349" i="1" s="1"/>
  <c r="P349" i="1"/>
  <c r="W283" i="1" l="1"/>
  <c r="X283" i="1" s="1"/>
  <c r="A283" i="1" s="1"/>
  <c r="Q349" i="1"/>
  <c r="R349" i="1" s="1"/>
  <c r="P350" i="1" s="1"/>
  <c r="U284" i="1" l="1"/>
  <c r="V284" i="1"/>
  <c r="O350" i="1" a="1"/>
  <c r="O350" i="1" s="1"/>
  <c r="Q350" i="1" s="1"/>
  <c r="R350" i="1" s="1"/>
  <c r="W284" i="1" l="1"/>
  <c r="X284" i="1" s="1"/>
  <c r="A284" i="1" s="1"/>
  <c r="O351" i="1" a="1"/>
  <c r="O351" i="1" s="1"/>
  <c r="P351" i="1"/>
  <c r="V285" i="1" l="1"/>
  <c r="U285" i="1"/>
  <c r="Q351" i="1"/>
  <c r="R351" i="1" s="1"/>
  <c r="O352" i="1" s="1" a="1"/>
  <c r="O352" i="1" s="1"/>
  <c r="W285" i="1" l="1"/>
  <c r="X285" i="1" s="1"/>
  <c r="A285" i="1" s="1"/>
  <c r="P352" i="1"/>
  <c r="Q352" i="1" s="1"/>
  <c r="R352" i="1" s="1"/>
  <c r="V286" i="1" l="1"/>
  <c r="U286" i="1"/>
  <c r="O353" i="1" a="1"/>
  <c r="O353" i="1" s="1"/>
  <c r="P353" i="1"/>
  <c r="W286" i="1" l="1"/>
  <c r="X286" i="1" s="1"/>
  <c r="A286" i="1" s="1"/>
  <c r="Q353" i="1"/>
  <c r="R353" i="1" s="1"/>
  <c r="O354" i="1" s="1" a="1"/>
  <c r="O354" i="1" s="1"/>
  <c r="U287" i="1" l="1"/>
  <c r="V287" i="1"/>
  <c r="P354" i="1"/>
  <c r="Q354" i="1" s="1"/>
  <c r="R354" i="1" s="1"/>
  <c r="W287" i="1" l="1"/>
  <c r="X287" i="1" s="1"/>
  <c r="A287" i="1" s="1"/>
  <c r="O355" i="1" a="1"/>
  <c r="O355" i="1" s="1"/>
  <c r="P355" i="1"/>
  <c r="U288" i="1" l="1"/>
  <c r="V288" i="1"/>
  <c r="Q355" i="1"/>
  <c r="R355" i="1" s="1"/>
  <c r="O356" i="1" s="1" a="1"/>
  <c r="O356" i="1" s="1"/>
  <c r="W288" i="1" l="1"/>
  <c r="X288" i="1" s="1"/>
  <c r="A288" i="1" s="1"/>
  <c r="P356" i="1"/>
  <c r="Q356" i="1" s="1"/>
  <c r="R356" i="1" s="1"/>
  <c r="V289" i="1" l="1"/>
  <c r="U289" i="1"/>
  <c r="P357" i="1"/>
  <c r="O357" i="1" a="1"/>
  <c r="O357" i="1" s="1"/>
  <c r="W289" i="1" l="1"/>
  <c r="X289" i="1" s="1"/>
  <c r="A289" i="1" s="1"/>
  <c r="Q357" i="1"/>
  <c r="R357" i="1" s="1"/>
  <c r="O358" i="1" s="1" a="1"/>
  <c r="O358" i="1" s="1"/>
  <c r="V290" i="1" l="1"/>
  <c r="U290" i="1"/>
  <c r="P358" i="1"/>
  <c r="Q358" i="1" s="1"/>
  <c r="R358" i="1" s="1"/>
  <c r="W290" i="1" l="1"/>
  <c r="X290" i="1" s="1"/>
  <c r="A290" i="1" s="1"/>
  <c r="O359" i="1" a="1"/>
  <c r="O359" i="1" s="1"/>
  <c r="P359" i="1"/>
  <c r="U291" i="1" l="1"/>
  <c r="V291" i="1"/>
  <c r="Q359" i="1"/>
  <c r="R359" i="1" s="1"/>
  <c r="W291" i="1" l="1"/>
  <c r="X291" i="1" s="1"/>
  <c r="A291" i="1" s="1"/>
  <c r="O360" i="1" a="1"/>
  <c r="O360" i="1" s="1"/>
  <c r="P360" i="1"/>
  <c r="V292" i="1" l="1"/>
  <c r="U292" i="1"/>
  <c r="Q360" i="1"/>
  <c r="R360" i="1" s="1"/>
  <c r="W292" i="1" l="1"/>
  <c r="X292" i="1" s="1"/>
  <c r="A292" i="1" s="1"/>
  <c r="P361" i="1"/>
  <c r="O361" i="1" a="1"/>
  <c r="O361" i="1" s="1"/>
  <c r="V293" i="1" l="1"/>
  <c r="U293" i="1"/>
  <c r="Q361" i="1"/>
  <c r="R361" i="1" s="1"/>
  <c r="P362" i="1" s="1"/>
  <c r="W293" i="1" l="1"/>
  <c r="X293" i="1" s="1"/>
  <c r="A293" i="1" s="1"/>
  <c r="O362" i="1" a="1"/>
  <c r="O362" i="1" s="1"/>
  <c r="Q362" i="1" s="1"/>
  <c r="R362" i="1" s="1"/>
  <c r="U294" i="1" l="1"/>
  <c r="V294" i="1"/>
  <c r="O363" i="1" a="1"/>
  <c r="O363" i="1" s="1"/>
  <c r="P363" i="1"/>
  <c r="W294" i="1" l="1"/>
  <c r="X294" i="1" s="1"/>
  <c r="A294" i="1" s="1"/>
  <c r="Q363" i="1"/>
  <c r="R363" i="1" s="1"/>
  <c r="O364" i="1" s="1" a="1"/>
  <c r="O364" i="1" s="1"/>
  <c r="V295" i="1" l="1"/>
  <c r="U295" i="1"/>
  <c r="P364" i="1"/>
  <c r="Q364" i="1" s="1"/>
  <c r="R364" i="1" s="1"/>
  <c r="W295" i="1" l="1"/>
  <c r="X295" i="1" s="1"/>
  <c r="A295" i="1" s="1"/>
  <c r="O365" i="1" a="1"/>
  <c r="O365" i="1" s="1"/>
  <c r="P365" i="1"/>
  <c r="V296" i="1" l="1"/>
  <c r="U296" i="1"/>
  <c r="Q365" i="1"/>
  <c r="R365" i="1" s="1"/>
  <c r="W296" i="1" l="1"/>
  <c r="X296" i="1" s="1"/>
  <c r="A296" i="1" s="1"/>
  <c r="V297" i="1"/>
  <c r="U297" i="1"/>
  <c r="O366" i="1" a="1"/>
  <c r="O366" i="1" s="1"/>
  <c r="P366" i="1"/>
  <c r="W297" i="1" l="1"/>
  <c r="X297" i="1" s="1"/>
  <c r="A297" i="1" s="1"/>
  <c r="Q366" i="1"/>
  <c r="R366" i="1" s="1"/>
  <c r="V298" i="1" l="1"/>
  <c r="U298" i="1"/>
  <c r="P367" i="1"/>
  <c r="O367" i="1" a="1"/>
  <c r="O367" i="1" s="1"/>
  <c r="W298" i="1" l="1"/>
  <c r="X298" i="1" s="1"/>
  <c r="A298" i="1" s="1"/>
  <c r="Q367" i="1"/>
  <c r="R367" i="1" s="1"/>
  <c r="O368" i="1" s="1" a="1"/>
  <c r="O368" i="1" s="1"/>
  <c r="V299" i="1" l="1"/>
  <c r="U299" i="1"/>
  <c r="P368" i="1"/>
  <c r="Q368" i="1" s="1"/>
  <c r="R368" i="1" s="1"/>
  <c r="O369" i="1" s="1" a="1"/>
  <c r="O369" i="1" s="1"/>
  <c r="W299" i="1" l="1"/>
  <c r="X299" i="1" s="1"/>
  <c r="A299" i="1" s="1"/>
  <c r="P369" i="1"/>
  <c r="Q369" i="1" s="1"/>
  <c r="R369" i="1" s="1"/>
  <c r="U300" i="1" l="1"/>
  <c r="V300" i="1"/>
  <c r="O370" i="1" a="1"/>
  <c r="O370" i="1" s="1"/>
  <c r="P370" i="1"/>
  <c r="W300" i="1" l="1"/>
  <c r="X300" i="1" s="1"/>
  <c r="A300" i="1" s="1"/>
  <c r="Q370" i="1"/>
  <c r="R370" i="1" s="1"/>
  <c r="O371" i="1" s="1" a="1"/>
  <c r="O371" i="1" s="1"/>
  <c r="V301" i="1" l="1"/>
  <c r="U301" i="1"/>
  <c r="P371" i="1"/>
  <c r="Q371" i="1" s="1"/>
  <c r="R371" i="1" s="1"/>
  <c r="O372" i="1" s="1" a="1"/>
  <c r="O372" i="1" s="1"/>
  <c r="W301" i="1" l="1"/>
  <c r="X301" i="1" s="1"/>
  <c r="A301" i="1" s="1"/>
  <c r="P372" i="1"/>
  <c r="Q372" i="1" s="1"/>
  <c r="R372" i="1" s="1"/>
  <c r="P373" i="1" s="1"/>
  <c r="V302" i="1" l="1"/>
  <c r="U302" i="1"/>
  <c r="O373" i="1" a="1"/>
  <c r="O373" i="1" s="1"/>
  <c r="Q373" i="1" s="1"/>
  <c r="R373" i="1" s="1"/>
  <c r="O374" i="1" s="1" a="1"/>
  <c r="O374" i="1" s="1"/>
  <c r="W302" i="1" l="1"/>
  <c r="X302" i="1" s="1"/>
  <c r="A302" i="1" s="1"/>
  <c r="P374" i="1"/>
  <c r="Q374" i="1" s="1"/>
  <c r="R374" i="1" s="1"/>
  <c r="U303" i="1" l="1"/>
  <c r="V303" i="1"/>
  <c r="O375" i="1" a="1"/>
  <c r="O375" i="1" s="1"/>
  <c r="P375" i="1"/>
  <c r="W303" i="1" l="1"/>
  <c r="X303" i="1" s="1"/>
  <c r="A303" i="1" s="1"/>
  <c r="Q375" i="1"/>
  <c r="R375" i="1" s="1"/>
  <c r="V304" i="1" l="1"/>
  <c r="U304" i="1"/>
  <c r="P376" i="1"/>
  <c r="O376" i="1" a="1"/>
  <c r="O376" i="1" s="1"/>
  <c r="W304" i="1" l="1"/>
  <c r="X304" i="1" s="1"/>
  <c r="A304" i="1" s="1"/>
  <c r="Q376" i="1"/>
  <c r="R376" i="1" s="1"/>
  <c r="P377" i="1" s="1"/>
  <c r="V305" i="1" l="1"/>
  <c r="U305" i="1"/>
  <c r="O377" i="1" a="1"/>
  <c r="O377" i="1" s="1"/>
  <c r="Q377" i="1" s="1"/>
  <c r="R377" i="1" s="1"/>
  <c r="O378" i="1" s="1" a="1"/>
  <c r="O378" i="1" s="1"/>
  <c r="W305" i="1" l="1"/>
  <c r="X305" i="1" s="1"/>
  <c r="A305" i="1" s="1"/>
  <c r="P378" i="1"/>
  <c r="Q378" i="1" s="1"/>
  <c r="R378" i="1" s="1"/>
  <c r="V306" i="1" l="1"/>
  <c r="U306" i="1"/>
  <c r="O379" i="1" a="1"/>
  <c r="O379" i="1" s="1"/>
  <c r="P379" i="1"/>
  <c r="W306" i="1" l="1"/>
  <c r="X306" i="1" s="1"/>
  <c r="A306" i="1" s="1"/>
  <c r="Q379" i="1"/>
  <c r="R379" i="1" s="1"/>
  <c r="U307" i="1" l="1"/>
  <c r="V307" i="1"/>
  <c r="P380" i="1"/>
  <c r="O380" i="1" a="1"/>
  <c r="O380" i="1" s="1"/>
  <c r="W307" i="1" l="1"/>
  <c r="X307" i="1" s="1"/>
  <c r="A307" i="1" s="1"/>
  <c r="Q380" i="1"/>
  <c r="R380" i="1" s="1"/>
  <c r="P381" i="1" s="1"/>
  <c r="U308" i="1" l="1"/>
  <c r="V308" i="1"/>
  <c r="O381" i="1" a="1"/>
  <c r="O381" i="1" s="1"/>
  <c r="Q381" i="1" s="1"/>
  <c r="R381" i="1" s="1"/>
  <c r="O382" i="1" s="1" a="1"/>
  <c r="O382" i="1" s="1"/>
  <c r="W308" i="1" l="1"/>
  <c r="X308" i="1" s="1"/>
  <c r="A308" i="1" s="1"/>
  <c r="P382" i="1"/>
  <c r="Q382" i="1" s="1"/>
  <c r="R382" i="1" s="1"/>
  <c r="V309" i="1" l="1"/>
  <c r="U309" i="1"/>
  <c r="O383" i="1" a="1"/>
  <c r="O383" i="1" s="1"/>
  <c r="P383" i="1"/>
  <c r="W309" i="1" l="1"/>
  <c r="X309" i="1" s="1"/>
  <c r="A309" i="1" s="1"/>
  <c r="Q383" i="1"/>
  <c r="R383" i="1" s="1"/>
  <c r="U310" i="1" l="1"/>
  <c r="V310" i="1"/>
  <c r="P384" i="1"/>
  <c r="O384" i="1" a="1"/>
  <c r="O384" i="1" s="1"/>
  <c r="W310" i="1" l="1"/>
  <c r="X310" i="1" s="1"/>
  <c r="A310" i="1" s="1"/>
  <c r="Q384" i="1"/>
  <c r="R384" i="1" s="1"/>
  <c r="O385" i="1" s="1" a="1"/>
  <c r="O385" i="1" s="1"/>
  <c r="V311" i="1" l="1"/>
  <c r="U311" i="1"/>
  <c r="P385" i="1"/>
  <c r="Q385" i="1" s="1"/>
  <c r="R385" i="1" s="1"/>
  <c r="O386" i="1" s="1" a="1"/>
  <c r="O386" i="1" s="1"/>
  <c r="W311" i="1" l="1"/>
  <c r="X311" i="1" s="1"/>
  <c r="A311" i="1" s="1"/>
  <c r="P386" i="1"/>
  <c r="Q386" i="1" s="1"/>
  <c r="R386" i="1" s="1"/>
  <c r="V312" i="1" l="1"/>
  <c r="U312" i="1"/>
  <c r="O387" i="1" a="1"/>
  <c r="O387" i="1" s="1"/>
  <c r="P387" i="1"/>
  <c r="W312" i="1" l="1"/>
  <c r="X312" i="1" s="1"/>
  <c r="A312" i="1" s="1"/>
  <c r="Q387" i="1"/>
  <c r="R387" i="1" s="1"/>
  <c r="V313" i="1" l="1"/>
  <c r="U313" i="1"/>
  <c r="P388" i="1"/>
  <c r="O388" i="1" a="1"/>
  <c r="O388" i="1" s="1"/>
  <c r="W313" i="1" l="1"/>
  <c r="X313" i="1" s="1"/>
  <c r="A313" i="1" s="1"/>
  <c r="Q388" i="1"/>
  <c r="R388" i="1" s="1"/>
  <c r="P389" i="1" s="1"/>
  <c r="V314" i="1" l="1"/>
  <c r="U314" i="1"/>
  <c r="O389" i="1" a="1"/>
  <c r="O389" i="1" s="1"/>
  <c r="Q389" i="1" s="1"/>
  <c r="R389" i="1" s="1"/>
  <c r="O390" i="1" s="1" a="1"/>
  <c r="O390" i="1" s="1"/>
  <c r="W314" i="1" l="1"/>
  <c r="X314" i="1" s="1"/>
  <c r="A314" i="1" s="1"/>
  <c r="P390" i="1"/>
  <c r="Q390" i="1" s="1"/>
  <c r="R390" i="1" s="1"/>
  <c r="V315" i="1" l="1"/>
  <c r="U315" i="1"/>
  <c r="O391" i="1" a="1"/>
  <c r="O391" i="1" s="1"/>
  <c r="P391" i="1"/>
  <c r="W315" i="1" l="1"/>
  <c r="X315" i="1" s="1"/>
  <c r="V316" i="1" s="1"/>
  <c r="Q391" i="1"/>
  <c r="R391" i="1" s="1"/>
  <c r="U316" i="1" l="1"/>
  <c r="W316" i="1" s="1"/>
  <c r="X316" i="1" s="1"/>
  <c r="A316" i="1" s="1"/>
  <c r="A315" i="1"/>
  <c r="P392" i="1"/>
  <c r="O392" i="1" a="1"/>
  <c r="O392" i="1" s="1"/>
  <c r="U317" i="1" l="1"/>
  <c r="V317" i="1"/>
  <c r="Q392" i="1"/>
  <c r="R392" i="1" s="1"/>
  <c r="W317" i="1" l="1"/>
  <c r="X317" i="1" s="1"/>
  <c r="A317" i="1" s="1"/>
  <c r="P393" i="1"/>
  <c r="O393" i="1" a="1"/>
  <c r="O393" i="1" s="1"/>
  <c r="V318" i="1" l="1"/>
  <c r="U318" i="1"/>
  <c r="Q393" i="1"/>
  <c r="R393" i="1" s="1"/>
  <c r="O394" i="1" s="1" a="1"/>
  <c r="O394" i="1" s="1"/>
  <c r="W318" i="1" l="1"/>
  <c r="X318" i="1" s="1"/>
  <c r="A318" i="1" s="1"/>
  <c r="P394" i="1"/>
  <c r="Q394" i="1" s="1"/>
  <c r="R394" i="1" s="1"/>
  <c r="U319" i="1" l="1"/>
  <c r="V319" i="1"/>
  <c r="O395" i="1" a="1"/>
  <c r="O395" i="1" s="1"/>
  <c r="P395" i="1"/>
  <c r="W319" i="1" l="1"/>
  <c r="X319" i="1" s="1"/>
  <c r="A319" i="1" s="1"/>
  <c r="Q395" i="1"/>
  <c r="R395" i="1" s="1"/>
  <c r="V320" i="1" l="1"/>
  <c r="U320" i="1"/>
  <c r="P396" i="1"/>
  <c r="O396" i="1" a="1"/>
  <c r="O396" i="1" s="1"/>
  <c r="W320" i="1" l="1"/>
  <c r="X320" i="1" s="1"/>
  <c r="A320" i="1" s="1"/>
  <c r="Q396" i="1"/>
  <c r="R396" i="1" s="1"/>
  <c r="V321" i="1" l="1"/>
  <c r="U321" i="1"/>
  <c r="P397" i="1"/>
  <c r="O397" i="1" a="1"/>
  <c r="O397" i="1" s="1"/>
  <c r="W321" i="1" l="1"/>
  <c r="X321" i="1" s="1"/>
  <c r="A321" i="1" s="1"/>
  <c r="Q397" i="1"/>
  <c r="R397" i="1" s="1"/>
  <c r="O398" i="1" s="1" a="1"/>
  <c r="O398" i="1" s="1"/>
  <c r="V322" i="1" l="1"/>
  <c r="U322" i="1"/>
  <c r="P398" i="1"/>
  <c r="Q398" i="1" s="1"/>
  <c r="R398" i="1" s="1"/>
  <c r="W322" i="1" l="1"/>
  <c r="X322" i="1" s="1"/>
  <c r="A322" i="1" s="1"/>
  <c r="O399" i="1" a="1"/>
  <c r="O399" i="1" s="1"/>
  <c r="P399" i="1"/>
  <c r="U323" i="1" l="1"/>
  <c r="V323" i="1"/>
  <c r="Q399" i="1"/>
  <c r="R399" i="1" s="1"/>
  <c r="W323" i="1" l="1"/>
  <c r="X323" i="1" s="1"/>
  <c r="A323" i="1" s="1"/>
  <c r="P400" i="1"/>
  <c r="O400" i="1" a="1"/>
  <c r="O400" i="1" s="1"/>
  <c r="V324" i="1" l="1"/>
  <c r="U324" i="1"/>
  <c r="Q400" i="1"/>
  <c r="R400" i="1" s="1"/>
  <c r="O401" i="1" s="1" a="1"/>
  <c r="O401" i="1" s="1"/>
  <c r="W324" i="1" l="1"/>
  <c r="X324" i="1" s="1"/>
  <c r="A324" i="1" s="1"/>
  <c r="P401" i="1"/>
  <c r="Q401" i="1" s="1"/>
  <c r="R401" i="1" s="1"/>
  <c r="V325" i="1" l="1"/>
  <c r="U325" i="1"/>
  <c r="P402" i="1"/>
  <c r="O402" i="1" a="1"/>
  <c r="O402" i="1" s="1"/>
  <c r="W325" i="1" l="1"/>
  <c r="X325" i="1" s="1"/>
  <c r="A325" i="1" s="1"/>
  <c r="Q402" i="1"/>
  <c r="R402" i="1" s="1"/>
  <c r="O403" i="1" s="1" a="1"/>
  <c r="O403" i="1" s="1"/>
  <c r="V326" i="1" l="1"/>
  <c r="U326" i="1"/>
  <c r="P403" i="1"/>
  <c r="Q403" i="1" s="1"/>
  <c r="R403" i="1" s="1"/>
  <c r="P404" i="1" s="1"/>
  <c r="W326" i="1" l="1"/>
  <c r="X326" i="1" s="1"/>
  <c r="A326" i="1" s="1"/>
  <c r="O404" i="1" a="1"/>
  <c r="O404" i="1" s="1"/>
  <c r="Q404" i="1" s="1"/>
  <c r="R404" i="1" s="1"/>
  <c r="U327" i="1" l="1"/>
  <c r="V327" i="1"/>
  <c r="O405" i="1" a="1"/>
  <c r="O405" i="1" s="1"/>
  <c r="P405" i="1"/>
  <c r="W327" i="1" l="1"/>
  <c r="X327" i="1" s="1"/>
  <c r="A327" i="1" s="1"/>
  <c r="Q405" i="1"/>
  <c r="R405" i="1" s="1"/>
  <c r="O406" i="1" s="1" a="1"/>
  <c r="O406" i="1" s="1"/>
  <c r="V328" i="1" l="1"/>
  <c r="U328" i="1"/>
  <c r="P406" i="1"/>
  <c r="Q406" i="1" s="1"/>
  <c r="R406" i="1" s="1"/>
  <c r="W328" i="1" l="1"/>
  <c r="X328" i="1" s="1"/>
  <c r="U329" i="1" s="1"/>
  <c r="P407" i="1"/>
  <c r="O407" i="1" a="1"/>
  <c r="O407" i="1" s="1"/>
  <c r="A328" i="1" l="1"/>
  <c r="V329" i="1"/>
  <c r="W329" i="1" s="1"/>
  <c r="X329" i="1" s="1"/>
  <c r="A329" i="1" s="1"/>
  <c r="Q407" i="1"/>
  <c r="R407" i="1" s="1"/>
  <c r="P408" i="1" s="1"/>
  <c r="V330" i="1" l="1"/>
  <c r="U330" i="1"/>
  <c r="O408" i="1" a="1"/>
  <c r="O408" i="1" s="1"/>
  <c r="Q408" i="1" s="1"/>
  <c r="R408" i="1" s="1"/>
  <c r="W330" i="1" l="1"/>
  <c r="X330" i="1" s="1"/>
  <c r="A330" i="1" s="1"/>
  <c r="O409" i="1" a="1"/>
  <c r="O409" i="1" s="1"/>
  <c r="P409" i="1"/>
  <c r="V331" i="1" l="1"/>
  <c r="U331" i="1"/>
  <c r="Q409" i="1"/>
  <c r="R409" i="1" s="1"/>
  <c r="O410" i="1" s="1" a="1"/>
  <c r="O410" i="1" s="1"/>
  <c r="W331" i="1" l="1"/>
  <c r="X331" i="1" s="1"/>
  <c r="V332" i="1" s="1"/>
  <c r="P410" i="1"/>
  <c r="Q410" i="1" s="1"/>
  <c r="R410" i="1" s="1"/>
  <c r="U332" i="1" l="1"/>
  <c r="W332" i="1" s="1"/>
  <c r="X332" i="1" s="1"/>
  <c r="A332" i="1" s="1"/>
  <c r="A331" i="1"/>
  <c r="P411" i="1"/>
  <c r="O411" i="1" a="1"/>
  <c r="O411" i="1" s="1"/>
  <c r="U333" i="1" l="1"/>
  <c r="V333" i="1"/>
  <c r="Q411" i="1"/>
  <c r="R411" i="1" s="1"/>
  <c r="P412" i="1" s="1"/>
  <c r="W333" i="1" l="1"/>
  <c r="X333" i="1" s="1"/>
  <c r="A333" i="1" s="1"/>
  <c r="O412" i="1" a="1"/>
  <c r="O412" i="1" s="1"/>
  <c r="Q412" i="1" s="1"/>
  <c r="R412" i="1" s="1"/>
  <c r="V334" i="1" l="1"/>
  <c r="U334" i="1"/>
  <c r="P413" i="1"/>
  <c r="O413" i="1" a="1"/>
  <c r="O413" i="1" s="1"/>
  <c r="W334" i="1" l="1"/>
  <c r="X334" i="1" s="1"/>
  <c r="A334" i="1" s="1"/>
  <c r="Q413" i="1"/>
  <c r="R413" i="1" s="1"/>
  <c r="O414" i="1" s="1" a="1"/>
  <c r="O414" i="1" s="1"/>
  <c r="V335" i="1" l="1"/>
  <c r="U335" i="1"/>
  <c r="P414" i="1"/>
  <c r="Q414" i="1" s="1"/>
  <c r="R414" i="1" s="1"/>
  <c r="W335" i="1" l="1"/>
  <c r="X335" i="1" s="1"/>
  <c r="A335" i="1" s="1"/>
  <c r="P415" i="1"/>
  <c r="O415" i="1" a="1"/>
  <c r="O415" i="1" s="1"/>
  <c r="U336" i="1" l="1"/>
  <c r="V336" i="1"/>
  <c r="Q415" i="1"/>
  <c r="R415" i="1" s="1"/>
  <c r="P416" i="1" s="1"/>
  <c r="W336" i="1" l="1"/>
  <c r="X336" i="1" s="1"/>
  <c r="A336" i="1" s="1"/>
  <c r="O416" i="1" a="1"/>
  <c r="O416" i="1" s="1"/>
  <c r="Q416" i="1" s="1"/>
  <c r="R416" i="1" s="1"/>
  <c r="V337" i="1" l="1"/>
  <c r="U337" i="1"/>
  <c r="O417" i="1" a="1"/>
  <c r="O417" i="1" s="1"/>
  <c r="P417" i="1"/>
  <c r="W337" i="1" l="1"/>
  <c r="X337" i="1" s="1"/>
  <c r="A337" i="1" s="1"/>
  <c r="Q417" i="1"/>
  <c r="R417" i="1" s="1"/>
  <c r="O418" i="1" s="1" a="1"/>
  <c r="O418" i="1" s="1"/>
  <c r="V338" i="1" l="1"/>
  <c r="U338" i="1"/>
  <c r="P418" i="1"/>
  <c r="Q418" i="1" s="1"/>
  <c r="R418" i="1" s="1"/>
  <c r="W338" i="1" l="1"/>
  <c r="X338" i="1" s="1"/>
  <c r="A338" i="1" s="1"/>
  <c r="P419" i="1"/>
  <c r="O419" i="1" a="1"/>
  <c r="O419" i="1" s="1"/>
  <c r="U339" i="1" l="1"/>
  <c r="V339" i="1"/>
  <c r="Q419" i="1"/>
  <c r="R419" i="1" s="1"/>
  <c r="P420" i="1" s="1"/>
  <c r="W339" i="1" l="1"/>
  <c r="X339" i="1" s="1"/>
  <c r="A339" i="1" s="1"/>
  <c r="O420" i="1" a="1"/>
  <c r="O420" i="1" s="1"/>
  <c r="Q420" i="1" s="1"/>
  <c r="R420" i="1" s="1"/>
  <c r="V340" i="1" l="1"/>
  <c r="U340" i="1"/>
  <c r="O421" i="1" a="1"/>
  <c r="O421" i="1" s="1"/>
  <c r="P421" i="1"/>
  <c r="W340" i="1" l="1"/>
  <c r="X340" i="1" s="1"/>
  <c r="A340" i="1" s="1"/>
  <c r="Q421" i="1"/>
  <c r="R421" i="1" s="1"/>
  <c r="O422" i="1" s="1" a="1"/>
  <c r="O422" i="1" s="1"/>
  <c r="V341" i="1" l="1"/>
  <c r="U341" i="1"/>
  <c r="P422" i="1"/>
  <c r="Q422" i="1" s="1"/>
  <c r="R422" i="1" s="1"/>
  <c r="P423" i="1" s="1"/>
  <c r="W341" i="1" l="1"/>
  <c r="X341" i="1" s="1"/>
  <c r="A341" i="1" s="1"/>
  <c r="O423" i="1" a="1"/>
  <c r="O423" i="1" s="1"/>
  <c r="Q423" i="1" s="1"/>
  <c r="R423" i="1" s="1"/>
  <c r="V342" i="1" l="1"/>
  <c r="U342" i="1"/>
  <c r="P424" i="1"/>
  <c r="O424" i="1" a="1"/>
  <c r="O424" i="1" s="1"/>
  <c r="W342" i="1" l="1"/>
  <c r="X342" i="1" s="1"/>
  <c r="A342" i="1" s="1"/>
  <c r="Q424" i="1"/>
  <c r="R424" i="1" s="1"/>
  <c r="P425" i="1" s="1"/>
  <c r="V343" i="1" l="1"/>
  <c r="U343" i="1"/>
  <c r="O425" i="1" a="1"/>
  <c r="O425" i="1" s="1"/>
  <c r="Q425" i="1" s="1"/>
  <c r="R425" i="1" s="1"/>
  <c r="O426" i="1" s="1" a="1"/>
  <c r="O426" i="1" s="1"/>
  <c r="W343" i="1" l="1"/>
  <c r="X343" i="1" s="1"/>
  <c r="A343" i="1" s="1"/>
  <c r="P426" i="1"/>
  <c r="Q426" i="1" s="1"/>
  <c r="R426" i="1" s="1"/>
  <c r="V344" i="1" l="1"/>
  <c r="U344" i="1"/>
  <c r="P427" i="1"/>
  <c r="O427" i="1" a="1"/>
  <c r="O427" i="1" s="1"/>
  <c r="W344" i="1" l="1"/>
  <c r="X344" i="1" s="1"/>
  <c r="A344" i="1" s="1"/>
  <c r="Q427" i="1"/>
  <c r="R427" i="1" s="1"/>
  <c r="O428" i="1" s="1" a="1"/>
  <c r="O428" i="1" s="1"/>
  <c r="V345" i="1" l="1"/>
  <c r="U345" i="1"/>
  <c r="P428" i="1"/>
  <c r="Q428" i="1" s="1"/>
  <c r="R428" i="1" s="1"/>
  <c r="W345" i="1" l="1"/>
  <c r="X345" i="1" s="1"/>
  <c r="A345" i="1" s="1"/>
  <c r="O429" i="1" a="1"/>
  <c r="O429" i="1" s="1"/>
  <c r="P429" i="1"/>
  <c r="V346" i="1" l="1"/>
  <c r="U346" i="1"/>
  <c r="Q429" i="1"/>
  <c r="R429" i="1" s="1"/>
  <c r="O430" i="1" s="1" a="1"/>
  <c r="O430" i="1" s="1"/>
  <c r="W346" i="1" l="1"/>
  <c r="X346" i="1" s="1"/>
  <c r="A346" i="1" s="1"/>
  <c r="P430" i="1"/>
  <c r="Q430" i="1" s="1"/>
  <c r="R430" i="1" s="1"/>
  <c r="V347" i="1" l="1"/>
  <c r="U347" i="1"/>
  <c r="P431" i="1"/>
  <c r="O431" i="1" a="1"/>
  <c r="O431" i="1" s="1"/>
  <c r="W347" i="1" l="1"/>
  <c r="X347" i="1" s="1"/>
  <c r="A347" i="1" s="1"/>
  <c r="Q431" i="1"/>
  <c r="R431" i="1" s="1"/>
  <c r="O432" i="1" s="1" a="1"/>
  <c r="O432" i="1" s="1"/>
  <c r="U348" i="1" l="1"/>
  <c r="V348" i="1"/>
  <c r="P432" i="1"/>
  <c r="Q432" i="1" s="1"/>
  <c r="R432" i="1" s="1"/>
  <c r="O433" i="1" s="1" a="1"/>
  <c r="O433" i="1" s="1"/>
  <c r="W348" i="1" l="1"/>
  <c r="X348" i="1" s="1"/>
  <c r="A348" i="1" s="1"/>
  <c r="P433" i="1"/>
  <c r="Q433" i="1" s="1"/>
  <c r="R433" i="1" s="1"/>
  <c r="O434" i="1" s="1" a="1"/>
  <c r="O434" i="1" s="1"/>
  <c r="U349" i="1" l="1"/>
  <c r="V349" i="1"/>
  <c r="P434" i="1"/>
  <c r="Q434" i="1" s="1"/>
  <c r="R434" i="1" s="1"/>
  <c r="W349" i="1" l="1"/>
  <c r="X349" i="1" s="1"/>
  <c r="A349" i="1" s="1"/>
  <c r="P435" i="1"/>
  <c r="O435" i="1" a="1"/>
  <c r="O435" i="1" s="1"/>
  <c r="V350" i="1" l="1"/>
  <c r="U350" i="1"/>
  <c r="Q435" i="1"/>
  <c r="R435" i="1" s="1"/>
  <c r="W350" i="1" l="1"/>
  <c r="X350" i="1" s="1"/>
  <c r="A350" i="1" s="1"/>
  <c r="V351" i="1"/>
  <c r="P436" i="1"/>
  <c r="O436" i="1" a="1"/>
  <c r="O436" i="1" s="1"/>
  <c r="U351" i="1" l="1"/>
  <c r="W351" i="1" s="1"/>
  <c r="X351" i="1" s="1"/>
  <c r="A351" i="1" s="1"/>
  <c r="Q436" i="1"/>
  <c r="R436" i="1" s="1"/>
  <c r="V352" i="1" l="1"/>
  <c r="U352" i="1"/>
  <c r="O437" i="1" a="1"/>
  <c r="O437" i="1" s="1"/>
  <c r="P437" i="1"/>
  <c r="W352" i="1" l="1"/>
  <c r="X352" i="1" s="1"/>
  <c r="A352" i="1" s="1"/>
  <c r="Q437" i="1"/>
  <c r="R437" i="1" s="1"/>
  <c r="V353" i="1" l="1"/>
  <c r="U353" i="1"/>
  <c r="O438" i="1" a="1"/>
  <c r="O438" i="1" s="1"/>
  <c r="P438" i="1"/>
  <c r="W353" i="1" l="1"/>
  <c r="X353" i="1" s="1"/>
  <c r="A353" i="1" s="1"/>
  <c r="Q438" i="1"/>
  <c r="R438" i="1" s="1"/>
  <c r="V354" i="1" l="1"/>
  <c r="U354" i="1"/>
  <c r="P439" i="1"/>
  <c r="O439" i="1" a="1"/>
  <c r="O439" i="1" s="1"/>
  <c r="W354" i="1" l="1"/>
  <c r="X354" i="1" s="1"/>
  <c r="A354" i="1" s="1"/>
  <c r="Q439" i="1"/>
  <c r="R439" i="1" s="1"/>
  <c r="O440" i="1" s="1" a="1"/>
  <c r="O440" i="1" s="1"/>
  <c r="U355" i="1" l="1"/>
  <c r="V355" i="1"/>
  <c r="P440" i="1"/>
  <c r="Q440" i="1" s="1"/>
  <c r="R440" i="1" s="1"/>
  <c r="W355" i="1" l="1"/>
  <c r="X355" i="1" s="1"/>
  <c r="A355" i="1" s="1"/>
  <c r="P441" i="1"/>
  <c r="O441" i="1" a="1"/>
  <c r="O441" i="1" s="1"/>
  <c r="V356" i="1" l="1"/>
  <c r="U356" i="1"/>
  <c r="Q441" i="1"/>
  <c r="R441" i="1" s="1"/>
  <c r="W356" i="1" l="1"/>
  <c r="X356" i="1" s="1"/>
  <c r="A356" i="1" s="1"/>
  <c r="O442" i="1" a="1"/>
  <c r="O442" i="1" s="1"/>
  <c r="P442" i="1"/>
  <c r="U357" i="1" l="1"/>
  <c r="V357" i="1"/>
  <c r="Q442" i="1"/>
  <c r="R442" i="1" s="1"/>
  <c r="W357" i="1" l="1"/>
  <c r="X357" i="1" s="1"/>
  <c r="A357" i="1" s="1"/>
  <c r="P443" i="1"/>
  <c r="O443" i="1" a="1"/>
  <c r="O443" i="1" s="1"/>
  <c r="U358" i="1" l="1"/>
  <c r="V358" i="1"/>
  <c r="Q443" i="1"/>
  <c r="R443" i="1" s="1"/>
  <c r="P444" i="1" s="1"/>
  <c r="W358" i="1" l="1"/>
  <c r="X358" i="1" s="1"/>
  <c r="A358" i="1" s="1"/>
  <c r="O444" i="1" a="1"/>
  <c r="O444" i="1" s="1"/>
  <c r="Q444" i="1" s="1"/>
  <c r="R444" i="1" s="1"/>
  <c r="U359" i="1" l="1"/>
  <c r="V359" i="1"/>
  <c r="O445" i="1" a="1"/>
  <c r="O445" i="1" s="1"/>
  <c r="P445" i="1"/>
  <c r="W359" i="1" l="1"/>
  <c r="X359" i="1" s="1"/>
  <c r="A359" i="1" s="1"/>
  <c r="Q445" i="1"/>
  <c r="R445" i="1" s="1"/>
  <c r="O446" i="1" s="1" a="1"/>
  <c r="O446" i="1" s="1"/>
  <c r="V360" i="1" l="1"/>
  <c r="U360" i="1"/>
  <c r="P446" i="1"/>
  <c r="Q446" i="1" s="1"/>
  <c r="R446" i="1" s="1"/>
  <c r="W360" i="1" l="1"/>
  <c r="X360" i="1" s="1"/>
  <c r="A360" i="1" s="1"/>
  <c r="O447" i="1" a="1"/>
  <c r="O447" i="1" s="1"/>
  <c r="P447" i="1"/>
  <c r="V361" i="1" l="1"/>
  <c r="U361" i="1"/>
  <c r="Q447" i="1"/>
  <c r="R447" i="1" s="1"/>
  <c r="P448" i="1" s="1"/>
  <c r="W361" i="1" l="1"/>
  <c r="X361" i="1" s="1"/>
  <c r="A361" i="1" s="1"/>
  <c r="O448" i="1" a="1"/>
  <c r="O448" i="1" s="1"/>
  <c r="Q448" i="1" s="1"/>
  <c r="R448" i="1" s="1"/>
  <c r="O449" i="1" s="1" a="1"/>
  <c r="O449" i="1" s="1"/>
  <c r="U362" i="1" l="1"/>
  <c r="V362" i="1"/>
  <c r="P449" i="1"/>
  <c r="Q449" i="1" s="1"/>
  <c r="R449" i="1" s="1"/>
  <c r="W362" i="1" l="1"/>
  <c r="X362" i="1" s="1"/>
  <c r="A362" i="1" s="1"/>
  <c r="O450" i="1" a="1"/>
  <c r="O450" i="1" s="1"/>
  <c r="P450" i="1"/>
  <c r="V363" i="1" l="1"/>
  <c r="U363" i="1"/>
  <c r="Q450" i="1"/>
  <c r="R450" i="1" s="1"/>
  <c r="O451" i="1" s="1" a="1"/>
  <c r="O451" i="1" s="1"/>
  <c r="W363" i="1" l="1"/>
  <c r="X363" i="1" s="1"/>
  <c r="A363" i="1" s="1"/>
  <c r="P451" i="1"/>
  <c r="Q451" i="1" s="1"/>
  <c r="R451" i="1" s="1"/>
  <c r="V364" i="1" l="1"/>
  <c r="U364" i="1"/>
  <c r="P452" i="1"/>
  <c r="O452" i="1" a="1"/>
  <c r="O452" i="1" s="1"/>
  <c r="W364" i="1" l="1"/>
  <c r="X364" i="1" s="1"/>
  <c r="A364" i="1" s="1"/>
  <c r="Q452" i="1"/>
  <c r="R452" i="1" s="1"/>
  <c r="V365" i="1" l="1"/>
  <c r="U365" i="1"/>
  <c r="P453" i="1"/>
  <c r="O453" i="1" a="1"/>
  <c r="O453" i="1" s="1"/>
  <c r="W365" i="1" l="1"/>
  <c r="X365" i="1" s="1"/>
  <c r="A365" i="1" s="1"/>
  <c r="Q453" i="1"/>
  <c r="R453" i="1" s="1"/>
  <c r="V366" i="1" l="1"/>
  <c r="U366" i="1"/>
  <c r="O454" i="1" a="1"/>
  <c r="O454" i="1" s="1"/>
  <c r="P454" i="1"/>
  <c r="W366" i="1" l="1"/>
  <c r="X366" i="1" s="1"/>
  <c r="A366" i="1" s="1"/>
  <c r="Q454" i="1"/>
  <c r="R454" i="1" s="1"/>
  <c r="V367" i="1" l="1"/>
  <c r="U367" i="1"/>
  <c r="O455" i="1" a="1"/>
  <c r="O455" i="1" s="1"/>
  <c r="P455" i="1"/>
  <c r="W367" i="1" l="1"/>
  <c r="X367" i="1" s="1"/>
  <c r="A367" i="1" s="1"/>
  <c r="Q455" i="1"/>
  <c r="R455" i="1" s="1"/>
  <c r="V368" i="1" l="1"/>
  <c r="U368" i="1"/>
  <c r="P456" i="1"/>
  <c r="O456" i="1" a="1"/>
  <c r="O456" i="1" s="1"/>
  <c r="W368" i="1" l="1"/>
  <c r="X368" i="1" s="1"/>
  <c r="A368" i="1" s="1"/>
  <c r="Q456" i="1"/>
  <c r="R456" i="1" s="1"/>
  <c r="O457" i="1" s="1" a="1"/>
  <c r="O457" i="1" s="1"/>
  <c r="U369" i="1" l="1"/>
  <c r="V369" i="1"/>
  <c r="P457" i="1"/>
  <c r="Q457" i="1" s="1"/>
  <c r="R457" i="1" s="1"/>
  <c r="W369" i="1" l="1"/>
  <c r="X369" i="1" s="1"/>
  <c r="A369" i="1" s="1"/>
  <c r="U370" i="1"/>
  <c r="V370" i="1"/>
  <c r="P458" i="1"/>
  <c r="O458" i="1" a="1"/>
  <c r="O458" i="1" s="1"/>
  <c r="W370" i="1" l="1"/>
  <c r="X370" i="1" s="1"/>
  <c r="A370" i="1" s="1"/>
  <c r="Q458" i="1"/>
  <c r="R458" i="1" s="1"/>
  <c r="O459" i="1" s="1" a="1"/>
  <c r="O459" i="1" s="1"/>
  <c r="V371" i="1" l="1"/>
  <c r="U371" i="1"/>
  <c r="P459" i="1"/>
  <c r="Q459" i="1" s="1"/>
  <c r="R459" i="1" s="1"/>
  <c r="W371" i="1" l="1"/>
  <c r="X371" i="1" s="1"/>
  <c r="A371" i="1" s="1"/>
  <c r="O460" i="1" a="1"/>
  <c r="O460" i="1" s="1"/>
  <c r="P460" i="1"/>
  <c r="U372" i="1" l="1"/>
  <c r="V372" i="1"/>
  <c r="Q460" i="1"/>
  <c r="R460" i="1" s="1"/>
  <c r="P461" i="1" s="1"/>
  <c r="W372" i="1" l="1"/>
  <c r="X372" i="1" s="1"/>
  <c r="A372" i="1" s="1"/>
  <c r="O461" i="1" a="1"/>
  <c r="O461" i="1" s="1"/>
  <c r="Q461" i="1" s="1"/>
  <c r="R461" i="1" s="1"/>
  <c r="O462" i="1" s="1" a="1"/>
  <c r="O462" i="1" s="1"/>
  <c r="U373" i="1" l="1"/>
  <c r="V373" i="1"/>
  <c r="P462" i="1"/>
  <c r="Q462" i="1" s="1"/>
  <c r="R462" i="1" s="1"/>
  <c r="W373" i="1" l="1"/>
  <c r="X373" i="1" s="1"/>
  <c r="U374" i="1" s="1"/>
  <c r="O463" i="1" a="1"/>
  <c r="O463" i="1" s="1"/>
  <c r="P463" i="1"/>
  <c r="A373" i="1" l="1"/>
  <c r="V374" i="1"/>
  <c r="W374" i="1" s="1"/>
  <c r="X374" i="1" s="1"/>
  <c r="A374" i="1" s="1"/>
  <c r="Q463" i="1"/>
  <c r="R463" i="1" s="1"/>
  <c r="O464" i="1" s="1" a="1"/>
  <c r="O464" i="1" s="1"/>
  <c r="V375" i="1" l="1"/>
  <c r="U375" i="1"/>
  <c r="P464" i="1"/>
  <c r="Q464" i="1" s="1"/>
  <c r="R464" i="1" s="1"/>
  <c r="O465" i="1" s="1" a="1"/>
  <c r="O465" i="1" s="1"/>
  <c r="W375" i="1" l="1"/>
  <c r="X375" i="1" s="1"/>
  <c r="A375" i="1" s="1"/>
  <c r="P465" i="1"/>
  <c r="Q465" i="1" s="1"/>
  <c r="R465" i="1" s="1"/>
  <c r="U376" i="1" l="1"/>
  <c r="V376" i="1"/>
  <c r="O466" i="1" a="1"/>
  <c r="O466" i="1" s="1"/>
  <c r="P466" i="1"/>
  <c r="W376" i="1" l="1"/>
  <c r="X376" i="1" s="1"/>
  <c r="A376" i="1" s="1"/>
  <c r="Q466" i="1"/>
  <c r="R466" i="1" s="1"/>
  <c r="P467" i="1" s="1"/>
  <c r="V377" i="1" l="1"/>
  <c r="U377" i="1"/>
  <c r="O467" i="1" a="1"/>
  <c r="O467" i="1" s="1"/>
  <c r="Q467" i="1" s="1"/>
  <c r="R467" i="1" s="1"/>
  <c r="W377" i="1" l="1"/>
  <c r="X377" i="1" s="1"/>
  <c r="A377" i="1" s="1"/>
  <c r="O468" i="1" a="1"/>
  <c r="O468" i="1" s="1"/>
  <c r="P468" i="1"/>
  <c r="V378" i="1" l="1"/>
  <c r="U378" i="1"/>
  <c r="Q468" i="1"/>
  <c r="R468" i="1" s="1"/>
  <c r="O469" i="1" s="1" a="1"/>
  <c r="O469" i="1" s="1"/>
  <c r="W378" i="1" l="1"/>
  <c r="X378" i="1" s="1"/>
  <c r="A378" i="1" s="1"/>
  <c r="P469" i="1"/>
  <c r="Q469" i="1" s="1"/>
  <c r="R469" i="1" s="1"/>
  <c r="V379" i="1" l="1"/>
  <c r="U379" i="1"/>
  <c r="P470" i="1"/>
  <c r="O470" i="1" a="1"/>
  <c r="O470" i="1" s="1"/>
  <c r="W379" i="1" l="1"/>
  <c r="X379" i="1" s="1"/>
  <c r="A379" i="1" s="1"/>
  <c r="Q470" i="1"/>
  <c r="R470" i="1" s="1"/>
  <c r="O471" i="1" s="1" a="1"/>
  <c r="O471" i="1" s="1"/>
  <c r="V380" i="1" l="1"/>
  <c r="U380" i="1"/>
  <c r="P471" i="1"/>
  <c r="Q471" i="1" s="1"/>
  <c r="R471" i="1" s="1"/>
  <c r="W380" i="1" l="1"/>
  <c r="X380" i="1" s="1"/>
  <c r="A380" i="1" s="1"/>
  <c r="O472" i="1" a="1"/>
  <c r="O472" i="1" s="1"/>
  <c r="P472" i="1"/>
  <c r="V381" i="1" l="1"/>
  <c r="U381" i="1"/>
  <c r="Q472" i="1"/>
  <c r="R472" i="1" s="1"/>
  <c r="W381" i="1" l="1"/>
  <c r="X381" i="1" s="1"/>
  <c r="A381" i="1" s="1"/>
  <c r="O473" i="1" a="1"/>
  <c r="O473" i="1" s="1"/>
  <c r="P473" i="1"/>
  <c r="V382" i="1" l="1"/>
  <c r="U382" i="1"/>
  <c r="Q473" i="1"/>
  <c r="R473" i="1" s="1"/>
  <c r="O474" i="1" s="1" a="1"/>
  <c r="O474" i="1" s="1"/>
  <c r="W382" i="1" l="1"/>
  <c r="X382" i="1" s="1"/>
  <c r="A382" i="1" s="1"/>
  <c r="P474" i="1"/>
  <c r="Q474" i="1" s="1"/>
  <c r="R474" i="1" s="1"/>
  <c r="P475" i="1" s="1"/>
  <c r="V383" i="1" l="1"/>
  <c r="U383" i="1"/>
  <c r="O475" i="1" a="1"/>
  <c r="O475" i="1" s="1"/>
  <c r="Q475" i="1" s="1"/>
  <c r="R475" i="1" s="1"/>
  <c r="W383" i="1" l="1"/>
  <c r="X383" i="1" s="1"/>
  <c r="A383" i="1" s="1"/>
  <c r="O476" i="1" a="1"/>
  <c r="O476" i="1" s="1"/>
  <c r="P476" i="1"/>
  <c r="V384" i="1" l="1"/>
  <c r="U384" i="1"/>
  <c r="Q476" i="1"/>
  <c r="R476" i="1" s="1"/>
  <c r="W384" i="1" l="1"/>
  <c r="X384" i="1" s="1"/>
  <c r="A384" i="1" s="1"/>
  <c r="P477" i="1"/>
  <c r="O477" i="1" a="1"/>
  <c r="O477" i="1" s="1"/>
  <c r="V385" i="1" l="1"/>
  <c r="U385" i="1"/>
  <c r="Q477" i="1"/>
  <c r="R477" i="1" s="1"/>
  <c r="W385" i="1" l="1"/>
  <c r="X385" i="1" s="1"/>
  <c r="A385" i="1" s="1"/>
  <c r="P478" i="1"/>
  <c r="O478" i="1" a="1"/>
  <c r="O478" i="1" s="1"/>
  <c r="V386" i="1" l="1"/>
  <c r="U386" i="1"/>
  <c r="Q478" i="1"/>
  <c r="R478" i="1" s="1"/>
  <c r="O479" i="1" s="1" a="1"/>
  <c r="O479" i="1" s="1"/>
  <c r="W386" i="1" l="1"/>
  <c r="X386" i="1" s="1"/>
  <c r="A386" i="1" s="1"/>
  <c r="P479" i="1"/>
  <c r="Q479" i="1" s="1"/>
  <c r="R479" i="1" s="1"/>
  <c r="V387" i="1" l="1"/>
  <c r="U387" i="1"/>
  <c r="O480" i="1" a="1"/>
  <c r="O480" i="1" s="1"/>
  <c r="P480" i="1"/>
  <c r="W387" i="1" l="1"/>
  <c r="X387" i="1" s="1"/>
  <c r="A387" i="1" s="1"/>
  <c r="Q480" i="1"/>
  <c r="R480" i="1" s="1"/>
  <c r="V388" i="1" l="1"/>
  <c r="U388" i="1"/>
  <c r="P481" i="1"/>
  <c r="O481" i="1" a="1"/>
  <c r="O481" i="1" s="1"/>
  <c r="W388" i="1" l="1"/>
  <c r="X388" i="1" s="1"/>
  <c r="A388" i="1" s="1"/>
  <c r="Q481" i="1"/>
  <c r="R481" i="1" s="1"/>
  <c r="P482" i="1" s="1"/>
  <c r="U389" i="1" l="1"/>
  <c r="V389" i="1"/>
  <c r="O482" i="1" a="1"/>
  <c r="O482" i="1" s="1"/>
  <c r="Q482" i="1" s="1"/>
  <c r="R482" i="1" s="1"/>
  <c r="W389" i="1" l="1"/>
  <c r="X389" i="1" s="1"/>
  <c r="A389" i="1" s="1"/>
  <c r="O483" i="1" a="1"/>
  <c r="O483" i="1" s="1"/>
  <c r="P483" i="1"/>
  <c r="V390" i="1" l="1"/>
  <c r="U390" i="1"/>
  <c r="Q483" i="1"/>
  <c r="R483" i="1" s="1"/>
  <c r="O484" i="1" s="1" a="1"/>
  <c r="O484" i="1" s="1"/>
  <c r="W390" i="1" l="1"/>
  <c r="X390" i="1" s="1"/>
  <c r="A390" i="1" s="1"/>
  <c r="P484" i="1"/>
  <c r="Q484" i="1" s="1"/>
  <c r="R484" i="1" s="1"/>
  <c r="U391" i="1" l="1"/>
  <c r="V391" i="1"/>
  <c r="P485" i="1"/>
  <c r="O485" i="1" a="1"/>
  <c r="O485" i="1" s="1"/>
  <c r="W391" i="1" l="1"/>
  <c r="X391" i="1" s="1"/>
  <c r="A391" i="1" s="1"/>
  <c r="Q485" i="1"/>
  <c r="R485" i="1" s="1"/>
  <c r="U392" i="1" l="1"/>
  <c r="V392" i="1"/>
  <c r="P486" i="1"/>
  <c r="O486" i="1" a="1"/>
  <c r="O486" i="1" s="1"/>
  <c r="W392" i="1" l="1"/>
  <c r="X392" i="1" s="1"/>
  <c r="A392" i="1" s="1"/>
  <c r="Q486" i="1"/>
  <c r="R486" i="1" s="1"/>
  <c r="P487" i="1" s="1"/>
  <c r="U393" i="1" l="1"/>
  <c r="V393" i="1"/>
  <c r="O487" i="1" a="1"/>
  <c r="O487" i="1" s="1"/>
  <c r="Q487" i="1" s="1"/>
  <c r="R487" i="1" s="1"/>
  <c r="W393" i="1" l="1"/>
  <c r="X393" i="1" s="1"/>
  <c r="A393" i="1" s="1"/>
  <c r="O488" i="1" a="1"/>
  <c r="O488" i="1" s="1"/>
  <c r="P488" i="1"/>
  <c r="U394" i="1" l="1"/>
  <c r="V394" i="1"/>
  <c r="Q488" i="1"/>
  <c r="R488" i="1" s="1"/>
  <c r="W394" i="1" l="1"/>
  <c r="X394" i="1" s="1"/>
  <c r="A394" i="1" s="1"/>
  <c r="P489" i="1"/>
  <c r="O489" i="1" a="1"/>
  <c r="O489" i="1" s="1"/>
  <c r="U395" i="1" l="1"/>
  <c r="V395" i="1"/>
  <c r="Q489" i="1"/>
  <c r="R489" i="1" s="1"/>
  <c r="W395" i="1" l="1"/>
  <c r="X395" i="1" s="1"/>
  <c r="A395" i="1" s="1"/>
  <c r="P490" i="1"/>
  <c r="O490" i="1" a="1"/>
  <c r="O490" i="1" s="1"/>
  <c r="V396" i="1" l="1"/>
  <c r="U396" i="1"/>
  <c r="Q490" i="1"/>
  <c r="R490" i="1" s="1"/>
  <c r="W396" i="1" l="1"/>
  <c r="X396" i="1" s="1"/>
  <c r="A396" i="1" s="1"/>
  <c r="O491" i="1" a="1"/>
  <c r="O491" i="1" s="1"/>
  <c r="P491" i="1"/>
  <c r="V397" i="1" l="1"/>
  <c r="U397" i="1"/>
  <c r="Q491" i="1"/>
  <c r="R491" i="1" s="1"/>
  <c r="W397" i="1" l="1"/>
  <c r="X397" i="1" s="1"/>
  <c r="A397" i="1" s="1"/>
  <c r="O492" i="1" a="1"/>
  <c r="O492" i="1" s="1"/>
  <c r="P492" i="1"/>
  <c r="U398" i="1" l="1"/>
  <c r="V398" i="1"/>
  <c r="Q492" i="1"/>
  <c r="R492" i="1" s="1"/>
  <c r="W398" i="1" l="1"/>
  <c r="X398" i="1" s="1"/>
  <c r="A398" i="1" s="1"/>
  <c r="P493" i="1"/>
  <c r="O493" i="1" a="1"/>
  <c r="O493" i="1" s="1"/>
  <c r="V399" i="1" l="1"/>
  <c r="U399" i="1"/>
  <c r="Q493" i="1"/>
  <c r="R493" i="1" s="1"/>
  <c r="O494" i="1" s="1" a="1"/>
  <c r="O494" i="1" s="1"/>
  <c r="W399" i="1" l="1"/>
  <c r="X399" i="1" s="1"/>
  <c r="A399" i="1" s="1"/>
  <c r="P494" i="1"/>
  <c r="Q494" i="1" s="1"/>
  <c r="R494" i="1" s="1"/>
  <c r="P495" i="1" s="1"/>
  <c r="V400" i="1" l="1"/>
  <c r="U400" i="1"/>
  <c r="O495" i="1" a="1"/>
  <c r="O495" i="1" s="1"/>
  <c r="Q495" i="1" s="1"/>
  <c r="R495" i="1" s="1"/>
  <c r="W400" i="1" l="1"/>
  <c r="X400" i="1" s="1"/>
  <c r="A400" i="1" s="1"/>
  <c r="O496" i="1" a="1"/>
  <c r="O496" i="1" s="1"/>
  <c r="P496" i="1"/>
  <c r="V401" i="1" l="1"/>
  <c r="U401" i="1"/>
  <c r="Q496" i="1"/>
  <c r="R496" i="1" s="1"/>
  <c r="W401" i="1" l="1"/>
  <c r="X401" i="1" s="1"/>
  <c r="A401" i="1" s="1"/>
  <c r="P497" i="1"/>
  <c r="O497" i="1" a="1"/>
  <c r="O497" i="1" s="1"/>
  <c r="V402" i="1" l="1"/>
  <c r="U402" i="1"/>
  <c r="Q497" i="1"/>
  <c r="R497" i="1" s="1"/>
  <c r="O498" i="1" s="1" a="1"/>
  <c r="O498" i="1" s="1"/>
  <c r="W402" i="1" l="1"/>
  <c r="X402" i="1" s="1"/>
  <c r="A402" i="1" s="1"/>
  <c r="P498" i="1"/>
  <c r="Q498" i="1" s="1"/>
  <c r="R498" i="1" s="1"/>
  <c r="P499" i="1" s="1"/>
  <c r="V403" i="1" l="1"/>
  <c r="U403" i="1"/>
  <c r="O499" i="1" a="1"/>
  <c r="O499" i="1" s="1"/>
  <c r="Q499" i="1" s="1"/>
  <c r="R499" i="1" s="1"/>
  <c r="W403" i="1" l="1"/>
  <c r="X403" i="1" s="1"/>
  <c r="A403" i="1" s="1"/>
  <c r="O500" i="1" a="1"/>
  <c r="O500" i="1" s="1"/>
  <c r="P500" i="1"/>
  <c r="V404" i="1" l="1"/>
  <c r="U404" i="1"/>
  <c r="Q500" i="1"/>
  <c r="R500" i="1" s="1"/>
  <c r="W404" i="1" l="1"/>
  <c r="X404" i="1" s="1"/>
  <c r="A404" i="1" s="1"/>
  <c r="O501" i="1" a="1"/>
  <c r="O501" i="1" s="1"/>
  <c r="P501" i="1"/>
  <c r="U405" i="1" l="1"/>
  <c r="V405" i="1"/>
  <c r="Q501" i="1"/>
  <c r="R501" i="1" s="1"/>
  <c r="W405" i="1" l="1"/>
  <c r="X405" i="1" s="1"/>
  <c r="V406" i="1" s="1"/>
  <c r="P502" i="1"/>
  <c r="O502" i="1" a="1"/>
  <c r="O502" i="1" s="1"/>
  <c r="A405" i="1" l="1"/>
  <c r="U406" i="1"/>
  <c r="W406" i="1" s="1"/>
  <c r="X406" i="1" s="1"/>
  <c r="V407" i="1" s="1"/>
  <c r="Q502" i="1"/>
  <c r="R502" i="1" s="1"/>
  <c r="O503" i="1" s="1" a="1"/>
  <c r="O503" i="1" s="1"/>
  <c r="A406" i="1" l="1"/>
  <c r="U407" i="1"/>
  <c r="W407" i="1" s="1"/>
  <c r="X407" i="1" s="1"/>
  <c r="A407" i="1" s="1"/>
  <c r="P503" i="1"/>
  <c r="Q503" i="1" s="1"/>
  <c r="R503" i="1" s="1"/>
  <c r="V408" i="1" l="1"/>
  <c r="U408" i="1"/>
  <c r="O504" i="1" a="1"/>
  <c r="O504" i="1" s="1"/>
  <c r="P504" i="1"/>
  <c r="W408" i="1" l="1"/>
  <c r="X408" i="1" s="1"/>
  <c r="A408" i="1" s="1"/>
  <c r="Q504" i="1"/>
  <c r="R504" i="1" s="1"/>
  <c r="O505" i="1" s="1" a="1"/>
  <c r="O505" i="1" s="1"/>
  <c r="U409" i="1" l="1"/>
  <c r="V409" i="1"/>
  <c r="P505" i="1"/>
  <c r="Q505" i="1" s="1"/>
  <c r="R505" i="1" s="1"/>
  <c r="O506" i="1" s="1" a="1"/>
  <c r="O506" i="1" s="1"/>
  <c r="W409" i="1" l="1"/>
  <c r="X409" i="1" s="1"/>
  <c r="A409" i="1" s="1"/>
  <c r="P506" i="1"/>
  <c r="Q506" i="1" s="1"/>
  <c r="R506" i="1" s="1"/>
  <c r="U410" i="1" l="1"/>
  <c r="V410" i="1"/>
  <c r="O507" i="1" a="1"/>
  <c r="O507" i="1" s="1"/>
  <c r="P507" i="1"/>
  <c r="W410" i="1" l="1"/>
  <c r="X410" i="1" s="1"/>
  <c r="V411" i="1" s="1"/>
  <c r="Q507" i="1"/>
  <c r="R507" i="1" s="1"/>
  <c r="P508" i="1" s="1"/>
  <c r="A410" i="1" l="1"/>
  <c r="U411" i="1"/>
  <c r="W411" i="1" s="1"/>
  <c r="X411" i="1" s="1"/>
  <c r="U412" i="1" s="1"/>
  <c r="O508" i="1" a="1"/>
  <c r="O508" i="1" s="1"/>
  <c r="Q508" i="1" s="1"/>
  <c r="R508" i="1" s="1"/>
  <c r="O509" i="1" s="1" a="1"/>
  <c r="O509" i="1" s="1"/>
  <c r="A411" i="1" l="1"/>
  <c r="V412" i="1"/>
  <c r="W412" i="1" s="1"/>
  <c r="X412" i="1" s="1"/>
  <c r="A412" i="1" s="1"/>
  <c r="P509" i="1"/>
  <c r="Q509" i="1" s="1"/>
  <c r="R509" i="1" s="1"/>
  <c r="P510" i="1" s="1"/>
  <c r="U413" i="1" l="1"/>
  <c r="V413" i="1"/>
  <c r="O510" i="1" a="1"/>
  <c r="O510" i="1" s="1"/>
  <c r="Q510" i="1" s="1"/>
  <c r="R510" i="1" s="1"/>
  <c r="W413" i="1" l="1"/>
  <c r="X413" i="1" s="1"/>
  <c r="A413" i="1" s="1"/>
  <c r="V414" i="1" l="1"/>
  <c r="U414" i="1"/>
  <c r="W414" i="1" l="1"/>
  <c r="X414" i="1" s="1"/>
  <c r="A414" i="1" s="1"/>
  <c r="V415" i="1" l="1"/>
  <c r="U415" i="1"/>
  <c r="W415" i="1" l="1"/>
  <c r="X415" i="1" s="1"/>
  <c r="A415" i="1" s="1"/>
  <c r="V416" i="1" l="1"/>
  <c r="U416" i="1"/>
  <c r="W416" i="1" l="1"/>
  <c r="X416" i="1" s="1"/>
  <c r="A416" i="1" s="1"/>
  <c r="U417" i="1" l="1"/>
  <c r="V417" i="1"/>
  <c r="W417" i="1" l="1"/>
  <c r="X417" i="1" s="1"/>
  <c r="A417" i="1" s="1"/>
  <c r="U418" i="1" l="1"/>
  <c r="V418" i="1"/>
  <c r="W418" i="1" l="1"/>
  <c r="X418" i="1" s="1"/>
  <c r="A418" i="1" s="1"/>
  <c r="U419" i="1" l="1"/>
  <c r="V419" i="1"/>
  <c r="W419" i="1" l="1"/>
  <c r="X419" i="1" s="1"/>
  <c r="A419" i="1" s="1"/>
  <c r="V420" i="1" l="1"/>
  <c r="U420" i="1"/>
  <c r="W420" i="1" l="1"/>
  <c r="X420" i="1" s="1"/>
  <c r="A420" i="1" s="1"/>
  <c r="V421" i="1" l="1"/>
  <c r="U421" i="1"/>
  <c r="W421" i="1" l="1"/>
  <c r="X421" i="1" s="1"/>
  <c r="A421" i="1" s="1"/>
  <c r="V422" i="1" l="1"/>
  <c r="U422" i="1"/>
  <c r="W422" i="1" l="1"/>
  <c r="X422" i="1" s="1"/>
  <c r="A422" i="1" s="1"/>
  <c r="U423" i="1" l="1"/>
  <c r="V423" i="1"/>
  <c r="W423" i="1" l="1"/>
  <c r="X423" i="1" s="1"/>
  <c r="A423" i="1" s="1"/>
  <c r="V424" i="1"/>
  <c r="U424" i="1"/>
  <c r="W424" i="1" l="1"/>
  <c r="X424" i="1" s="1"/>
  <c r="A424" i="1" s="1"/>
  <c r="U425" i="1" l="1"/>
  <c r="V425" i="1"/>
  <c r="W425" i="1" l="1"/>
  <c r="X425" i="1" s="1"/>
  <c r="A425" i="1" s="1"/>
  <c r="V426" i="1" l="1"/>
  <c r="U426" i="1"/>
  <c r="W426" i="1" l="1"/>
  <c r="X426" i="1" s="1"/>
  <c r="A426" i="1" s="1"/>
  <c r="V427" i="1" l="1"/>
  <c r="U427" i="1"/>
  <c r="W427" i="1" l="1"/>
  <c r="X427" i="1" s="1"/>
  <c r="A427" i="1" s="1"/>
  <c r="V428" i="1" l="1"/>
  <c r="U428" i="1"/>
  <c r="W428" i="1" l="1"/>
  <c r="X428" i="1" s="1"/>
  <c r="A428" i="1" s="1"/>
  <c r="V429" i="1" l="1"/>
  <c r="U429" i="1"/>
  <c r="W429" i="1" l="1"/>
  <c r="X429" i="1" s="1"/>
  <c r="A429" i="1" s="1"/>
  <c r="V430" i="1" l="1"/>
  <c r="U430" i="1"/>
  <c r="W430" i="1" l="1"/>
  <c r="X430" i="1" s="1"/>
  <c r="A430" i="1" s="1"/>
  <c r="V431" i="1" l="1"/>
  <c r="U431" i="1"/>
  <c r="W431" i="1" l="1"/>
  <c r="X431" i="1" s="1"/>
  <c r="A431" i="1" s="1"/>
  <c r="V432" i="1" l="1"/>
  <c r="U432" i="1"/>
  <c r="W432" i="1" l="1"/>
  <c r="X432" i="1" s="1"/>
  <c r="A432" i="1" s="1"/>
  <c r="V433" i="1"/>
  <c r="U433" i="1" l="1"/>
  <c r="W433" i="1" s="1"/>
  <c r="X433" i="1" s="1"/>
  <c r="A433" i="1" s="1"/>
  <c r="V434" i="1" l="1"/>
  <c r="U434" i="1"/>
  <c r="W434" i="1" l="1"/>
  <c r="X434" i="1" s="1"/>
  <c r="A434" i="1" s="1"/>
  <c r="V435" i="1" l="1"/>
  <c r="U435" i="1"/>
  <c r="W435" i="1" l="1"/>
  <c r="X435" i="1" s="1"/>
  <c r="A435" i="1" s="1"/>
  <c r="U436" i="1" l="1"/>
  <c r="V436" i="1"/>
  <c r="W436" i="1" l="1"/>
  <c r="X436" i="1" s="1"/>
  <c r="A436" i="1" s="1"/>
  <c r="V437" i="1" l="1"/>
  <c r="U437" i="1"/>
  <c r="W437" i="1" l="1"/>
  <c r="X437" i="1" s="1"/>
  <c r="A437" i="1" s="1"/>
  <c r="V438" i="1" l="1"/>
  <c r="U438" i="1"/>
  <c r="W438" i="1" l="1"/>
  <c r="X438" i="1" s="1"/>
  <c r="A438" i="1" s="1"/>
  <c r="U439" i="1" l="1"/>
  <c r="V439" i="1"/>
  <c r="W439" i="1" l="1"/>
  <c r="X439" i="1" s="1"/>
  <c r="A439" i="1" s="1"/>
  <c r="V440" i="1" l="1"/>
  <c r="U440" i="1"/>
  <c r="W440" i="1" l="1"/>
  <c r="X440" i="1" s="1"/>
  <c r="A440" i="1" s="1"/>
  <c r="V441" i="1" l="1"/>
  <c r="U441" i="1"/>
  <c r="W441" i="1" l="1"/>
  <c r="X441" i="1" s="1"/>
  <c r="A441" i="1" s="1"/>
  <c r="U442" i="1" l="1"/>
  <c r="V442" i="1"/>
  <c r="W442" i="1" l="1"/>
  <c r="X442" i="1" s="1"/>
  <c r="A442" i="1" s="1"/>
  <c r="V443" i="1" l="1"/>
  <c r="U443" i="1"/>
  <c r="W443" i="1" l="1"/>
  <c r="X443" i="1" s="1"/>
  <c r="A443" i="1" s="1"/>
  <c r="U444" i="1" l="1"/>
  <c r="V444" i="1"/>
  <c r="W444" i="1" l="1"/>
  <c r="X444" i="1" s="1"/>
  <c r="A444" i="1" s="1"/>
  <c r="V445" i="1" l="1"/>
  <c r="U445" i="1"/>
  <c r="W445" i="1" l="1"/>
  <c r="X445" i="1" s="1"/>
  <c r="A445" i="1" s="1"/>
  <c r="V446" i="1" l="1"/>
  <c r="U446" i="1"/>
  <c r="W446" i="1" l="1"/>
  <c r="X446" i="1" s="1"/>
  <c r="A446" i="1" s="1"/>
  <c r="V447" i="1" l="1"/>
  <c r="U447" i="1"/>
  <c r="W447" i="1" l="1"/>
  <c r="X447" i="1" s="1"/>
  <c r="A447" i="1" s="1"/>
  <c r="V448" i="1" l="1"/>
  <c r="U448" i="1"/>
  <c r="W448" i="1" l="1"/>
  <c r="X448" i="1" s="1"/>
  <c r="A448" i="1" s="1"/>
  <c r="V449" i="1" l="1"/>
  <c r="U449" i="1"/>
  <c r="W449" i="1" l="1"/>
  <c r="X449" i="1" s="1"/>
  <c r="A449" i="1" s="1"/>
  <c r="V450" i="1" l="1"/>
  <c r="U450" i="1"/>
  <c r="W450" i="1" l="1"/>
  <c r="X450" i="1" s="1"/>
  <c r="A450" i="1" s="1"/>
  <c r="V451" i="1" l="1"/>
  <c r="U451" i="1"/>
  <c r="W451" i="1" l="1"/>
  <c r="X451" i="1" s="1"/>
  <c r="A451" i="1" s="1"/>
  <c r="V452" i="1" l="1"/>
  <c r="U452" i="1"/>
  <c r="W452" i="1" l="1"/>
  <c r="X452" i="1" s="1"/>
  <c r="A452" i="1" s="1"/>
  <c r="V453" i="1" l="1"/>
  <c r="U453" i="1"/>
  <c r="W453" i="1" l="1"/>
  <c r="X453" i="1" s="1"/>
  <c r="A453" i="1" s="1"/>
  <c r="V454" i="1" l="1"/>
  <c r="U454" i="1"/>
  <c r="W454" i="1" l="1"/>
  <c r="X454" i="1" s="1"/>
  <c r="A454" i="1" s="1"/>
  <c r="V455" i="1" l="1"/>
  <c r="U455" i="1"/>
  <c r="W455" i="1" l="1"/>
  <c r="X455" i="1" s="1"/>
  <c r="A455" i="1" s="1"/>
  <c r="V456" i="1" l="1"/>
  <c r="U456" i="1"/>
  <c r="W456" i="1" l="1"/>
  <c r="X456" i="1" s="1"/>
  <c r="A456" i="1" s="1"/>
  <c r="V457" i="1" l="1"/>
  <c r="U457" i="1"/>
  <c r="W457" i="1" l="1"/>
  <c r="X457" i="1" s="1"/>
  <c r="A457" i="1" s="1"/>
  <c r="V458" i="1" l="1"/>
  <c r="U458" i="1"/>
  <c r="W458" i="1" l="1"/>
  <c r="X458" i="1" s="1"/>
  <c r="A458" i="1" s="1"/>
  <c r="U459" i="1" l="1"/>
  <c r="V459" i="1"/>
  <c r="W459" i="1" l="1"/>
  <c r="X459" i="1" s="1"/>
  <c r="A459" i="1" s="1"/>
  <c r="V460" i="1" l="1"/>
  <c r="U460" i="1"/>
  <c r="W460" i="1" l="1"/>
  <c r="X460" i="1" s="1"/>
  <c r="A460" i="1" s="1"/>
  <c r="U461" i="1" l="1"/>
  <c r="V461" i="1"/>
  <c r="W461" i="1" l="1"/>
  <c r="X461" i="1" s="1"/>
  <c r="A461" i="1" s="1"/>
  <c r="V462" i="1" l="1"/>
  <c r="U462" i="1"/>
  <c r="W462" i="1" l="1"/>
  <c r="X462" i="1" s="1"/>
  <c r="A462" i="1" s="1"/>
  <c r="U463" i="1" l="1"/>
  <c r="V463" i="1"/>
  <c r="W463" i="1" l="1"/>
  <c r="X463" i="1" s="1"/>
  <c r="A463" i="1" s="1"/>
  <c r="U464" i="1" l="1"/>
  <c r="V464" i="1"/>
  <c r="W464" i="1" l="1"/>
  <c r="X464" i="1" s="1"/>
  <c r="A464" i="1" s="1"/>
  <c r="V465" i="1" l="1"/>
  <c r="U465" i="1"/>
  <c r="W465" i="1" l="1"/>
  <c r="X465" i="1" s="1"/>
  <c r="A465" i="1" s="1"/>
  <c r="U466" i="1" l="1"/>
  <c r="V466" i="1"/>
  <c r="W466" i="1" s="1"/>
  <c r="X466" i="1" s="1"/>
  <c r="A466" i="1" s="1"/>
  <c r="V467" i="1" l="1"/>
  <c r="U467" i="1"/>
  <c r="W467" i="1" l="1"/>
  <c r="X467" i="1" s="1"/>
  <c r="A467" i="1" s="1"/>
  <c r="V468" i="1" l="1"/>
  <c r="U468" i="1"/>
  <c r="W468" i="1" l="1"/>
  <c r="X468" i="1" s="1"/>
  <c r="A468" i="1" s="1"/>
  <c r="V469" i="1" l="1"/>
  <c r="U469" i="1"/>
  <c r="W469" i="1" l="1"/>
  <c r="X469" i="1" s="1"/>
  <c r="A469" i="1" s="1"/>
  <c r="V470" i="1" l="1"/>
  <c r="U470" i="1"/>
  <c r="W470" i="1" l="1"/>
  <c r="X470" i="1" s="1"/>
  <c r="A470" i="1" s="1"/>
  <c r="V471" i="1" l="1"/>
  <c r="U471" i="1"/>
  <c r="W471" i="1" l="1"/>
  <c r="X471" i="1" s="1"/>
  <c r="A471" i="1" s="1"/>
  <c r="V472" i="1" l="1"/>
  <c r="U472" i="1"/>
  <c r="W472" i="1" l="1"/>
  <c r="X472" i="1" s="1"/>
  <c r="A472" i="1" s="1"/>
  <c r="V473" i="1" l="1"/>
  <c r="U473" i="1"/>
  <c r="W473" i="1" l="1"/>
  <c r="X473" i="1" s="1"/>
  <c r="A473" i="1" s="1"/>
  <c r="U474" i="1" l="1"/>
  <c r="V474" i="1"/>
  <c r="W474" i="1" l="1"/>
  <c r="X474" i="1" s="1"/>
  <c r="A474" i="1" s="1"/>
  <c r="V475" i="1" l="1"/>
  <c r="U475" i="1"/>
  <c r="W475" i="1" l="1"/>
  <c r="X475" i="1" s="1"/>
  <c r="A475" i="1" s="1"/>
  <c r="V476" i="1" l="1"/>
  <c r="U476" i="1"/>
  <c r="W476" i="1" l="1"/>
  <c r="X476" i="1" s="1"/>
  <c r="A476" i="1" s="1"/>
  <c r="V477" i="1" l="1"/>
  <c r="U477" i="1"/>
  <c r="W477" i="1" l="1"/>
  <c r="X477" i="1" s="1"/>
  <c r="A477" i="1" s="1"/>
  <c r="V478" i="1" l="1"/>
  <c r="U478" i="1"/>
  <c r="W478" i="1" l="1"/>
  <c r="X478" i="1" s="1"/>
  <c r="A478" i="1" s="1"/>
  <c r="V479" i="1" l="1"/>
  <c r="U479" i="1"/>
  <c r="W479" i="1" l="1"/>
  <c r="X479" i="1" s="1"/>
  <c r="A479" i="1" s="1"/>
  <c r="V480" i="1" l="1"/>
  <c r="U480" i="1"/>
  <c r="W480" i="1" l="1"/>
  <c r="X480" i="1" s="1"/>
  <c r="A480" i="1" s="1"/>
  <c r="V481" i="1" l="1"/>
  <c r="U481" i="1"/>
  <c r="W481" i="1" l="1"/>
  <c r="X481" i="1" s="1"/>
  <c r="A481" i="1" s="1"/>
  <c r="U482" i="1" l="1"/>
  <c r="V482" i="1"/>
  <c r="W482" i="1" l="1"/>
  <c r="X482" i="1" s="1"/>
  <c r="A482" i="1" s="1"/>
  <c r="U483" i="1" l="1"/>
  <c r="V483" i="1"/>
  <c r="W483" i="1" l="1"/>
  <c r="X483" i="1" s="1"/>
  <c r="A483" i="1" s="1"/>
  <c r="V484" i="1" l="1"/>
  <c r="U484" i="1"/>
  <c r="W484" i="1" l="1"/>
  <c r="X484" i="1" s="1"/>
  <c r="A484" i="1" s="1"/>
  <c r="V485" i="1" l="1"/>
  <c r="U485" i="1"/>
  <c r="W485" i="1" l="1"/>
  <c r="X485" i="1" s="1"/>
  <c r="A485" i="1" s="1"/>
  <c r="V486" i="1"/>
  <c r="U486" i="1" l="1"/>
  <c r="W486" i="1" s="1"/>
  <c r="X486" i="1" s="1"/>
  <c r="A486" i="1" s="1"/>
  <c r="V487" i="1" l="1"/>
  <c r="U487" i="1"/>
  <c r="W487" i="1" l="1"/>
  <c r="X487" i="1" s="1"/>
  <c r="A487" i="1" s="1"/>
  <c r="U488" i="1" l="1"/>
  <c r="V488" i="1"/>
  <c r="W488" i="1" l="1"/>
  <c r="X488" i="1" s="1"/>
  <c r="A488" i="1" s="1"/>
  <c r="V489" i="1"/>
  <c r="U489" i="1" l="1"/>
  <c r="W489" i="1" s="1"/>
  <c r="X489" i="1" s="1"/>
  <c r="A489" i="1" s="1"/>
  <c r="V490" i="1" l="1"/>
  <c r="U490" i="1"/>
  <c r="W490" i="1" l="1"/>
  <c r="X490" i="1" s="1"/>
  <c r="A490" i="1" s="1"/>
  <c r="V491" i="1" l="1"/>
  <c r="U491" i="1"/>
  <c r="W491" i="1" l="1"/>
  <c r="X491" i="1" s="1"/>
  <c r="A491" i="1" s="1"/>
  <c r="V492" i="1" l="1"/>
  <c r="U492" i="1"/>
  <c r="W492" i="1" l="1"/>
  <c r="X492" i="1" s="1"/>
  <c r="A492" i="1" s="1"/>
  <c r="V493" i="1" l="1"/>
  <c r="U493" i="1"/>
  <c r="W493" i="1" l="1"/>
  <c r="X493" i="1" s="1"/>
  <c r="A493" i="1" s="1"/>
  <c r="V494" i="1" l="1"/>
  <c r="U494" i="1"/>
  <c r="W494" i="1" l="1"/>
  <c r="X494" i="1" s="1"/>
  <c r="A494" i="1" s="1"/>
  <c r="V495" i="1" l="1"/>
  <c r="U495" i="1"/>
  <c r="W495" i="1" l="1"/>
  <c r="X495" i="1" s="1"/>
  <c r="A495" i="1" s="1"/>
  <c r="V496" i="1" l="1"/>
  <c r="U496" i="1"/>
  <c r="W496" i="1" l="1"/>
  <c r="X496" i="1" s="1"/>
  <c r="A496" i="1" s="1"/>
  <c r="V497" i="1" l="1"/>
  <c r="U497" i="1"/>
  <c r="W497" i="1" l="1"/>
  <c r="X497" i="1" s="1"/>
  <c r="A497" i="1" s="1"/>
  <c r="V498" i="1" l="1"/>
  <c r="U498" i="1"/>
  <c r="W498" i="1" l="1"/>
  <c r="X498" i="1" s="1"/>
  <c r="A498" i="1" s="1"/>
  <c r="U499" i="1"/>
  <c r="V499" i="1"/>
  <c r="W499" i="1" l="1"/>
  <c r="X499" i="1" s="1"/>
  <c r="A499" i="1" s="1"/>
  <c r="U500" i="1" l="1"/>
  <c r="V500" i="1"/>
  <c r="W500" i="1" l="1"/>
  <c r="X500" i="1" s="1"/>
  <c r="A500" i="1" l="1"/>
  <c r="U501" i="1"/>
  <c r="V501" i="1"/>
  <c r="W501" i="1" l="1"/>
  <c r="X501" i="1" s="1"/>
  <c r="U502" i="1" l="1"/>
  <c r="A501" i="1"/>
  <c r="V502" i="1"/>
  <c r="W502" i="1" l="1"/>
  <c r="X502" i="1" s="1"/>
  <c r="U503" i="1" l="1"/>
  <c r="A502" i="1"/>
  <c r="V503" i="1"/>
  <c r="W503" i="1" l="1"/>
  <c r="X503" i="1" s="1"/>
  <c r="U504" i="1" l="1"/>
  <c r="A503" i="1"/>
  <c r="V504" i="1"/>
  <c r="W504" i="1" l="1"/>
  <c r="X504" i="1" s="1"/>
  <c r="U505" i="1" l="1"/>
  <c r="A504" i="1"/>
  <c r="V505" i="1"/>
  <c r="W505" i="1" l="1"/>
  <c r="X505" i="1" s="1"/>
  <c r="U506" i="1" l="1"/>
  <c r="A505" i="1"/>
  <c r="V506" i="1"/>
  <c r="W506" i="1" l="1"/>
  <c r="X506" i="1" s="1"/>
  <c r="U507" i="1" l="1"/>
  <c r="A506" i="1"/>
  <c r="V507" i="1"/>
  <c r="W507" i="1" l="1"/>
  <c r="X507" i="1" s="1"/>
  <c r="U508" i="1" l="1"/>
  <c r="A507" i="1"/>
  <c r="V508" i="1"/>
  <c r="W508" i="1" l="1"/>
  <c r="X508" i="1" s="1"/>
  <c r="U509" i="1" l="1"/>
  <c r="A508" i="1"/>
  <c r="V509" i="1"/>
  <c r="W509" i="1" l="1"/>
  <c r="X509" i="1" s="1"/>
  <c r="U510" i="1" l="1"/>
  <c r="A509" i="1"/>
  <c r="V510" i="1"/>
  <c r="W510" i="1" l="1"/>
  <c r="X510" i="1" s="1"/>
  <c r="A5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<sst xmlns="http://schemas.openxmlformats.org/spreadsheetml/2006/main" count="47" uniqueCount="35">
  <si>
    <t>Parameters</t>
  </si>
  <si>
    <t>Stock 1</t>
  </si>
  <si>
    <t>Stock 2</t>
  </si>
  <si>
    <t>Initial Stock Price</t>
  </si>
  <si>
    <t>Volatility</t>
  </si>
  <si>
    <t>Drift u</t>
  </si>
  <si>
    <t>Time step dt</t>
  </si>
  <si>
    <t>Correlation</t>
  </si>
  <si>
    <t>stock price</t>
  </si>
  <si>
    <t>Total Return</t>
  </si>
  <si>
    <t>Avg Exp Return</t>
  </si>
  <si>
    <t>VS Discounted Bond</t>
  </si>
  <si>
    <t>Option Price</t>
  </si>
  <si>
    <t>stock 1</t>
  </si>
  <si>
    <t>Time</t>
  </si>
  <si>
    <t>Drift</t>
  </si>
  <si>
    <t>Uncertainty</t>
  </si>
  <si>
    <t>Change</t>
  </si>
  <si>
    <t>Stock Price</t>
  </si>
  <si>
    <t>stock 2</t>
  </si>
  <si>
    <t>Option</t>
  </si>
  <si>
    <t>Notional</t>
  </si>
  <si>
    <t>Tenor (months)</t>
  </si>
  <si>
    <t>Strike</t>
  </si>
  <si>
    <t>KO Level</t>
  </si>
  <si>
    <t>KI Level</t>
  </si>
  <si>
    <t>Coupon</t>
  </si>
  <si>
    <t>Rf</t>
  </si>
  <si>
    <t>Trials</t>
  </si>
  <si>
    <t>Discounted Bond</t>
  </si>
  <si>
    <t>KI Daily</t>
  </si>
  <si>
    <t>KO</t>
  </si>
  <si>
    <t>month</t>
  </si>
  <si>
    <t>Disc Factor</t>
  </si>
  <si>
    <t>Expected Payout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</si>
</sst>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9" fontId="0" fillId="0" borderId="0" xfId="0" applyNumberFormat="1"/>
    <xf numFmtId="0" fontId="0" fillId="0" borderId="0" xfId="0" applyAlignment="1">
      <alignment horizontal="right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Price Chart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Stock 1</c:v>
          </c:tx>
          <c:marker>
            <c:symbol val="none"/>
          </c:marker>
          <c:cat>
            <c:numRef>
              <c:f>Sheet1!$T$12:$T$510</c:f>
              <c:numCache>
                <c:formatCode>General</c:formatCode>
                <c:ptCount val="499"/>
                <c:pt idx="0">
                  <c:v>0</c:v>
                </c:pt>
                <c:pt idx="1">
                  <c:v>4.1666666666666666E-3</c:v>
                </c:pt>
                <c:pt idx="2">
                  <c:v>8.3333333333333332E-3</c:v>
                </c:pt>
                <c:pt idx="3">
                  <c:v>1.2500000000000001E-2</c:v>
                </c:pt>
                <c:pt idx="4">
                  <c:v>1.6666666666666666E-2</c:v>
                </c:pt>
                <c:pt idx="5">
                  <c:v>2.0833333333333332E-2</c:v>
                </c:pt>
                <c:pt idx="6">
                  <c:v>2.4999999999999998E-2</c:v>
                </c:pt>
                <c:pt idx="7">
                  <c:v>2.9166666666666664E-2</c:v>
                </c:pt>
                <c:pt idx="8">
                  <c:v>3.3333333333333333E-2</c:v>
                </c:pt>
                <c:pt idx="9">
                  <c:v>3.7499999999999999E-2</c:v>
                </c:pt>
                <c:pt idx="10">
                  <c:v>4.1666666666666664E-2</c:v>
                </c:pt>
                <c:pt idx="11">
                  <c:v>4.583333333333333E-2</c:v>
                </c:pt>
                <c:pt idx="12">
                  <c:v>4.9999999999999996E-2</c:v>
                </c:pt>
                <c:pt idx="13">
                  <c:v>5.4166666666666662E-2</c:v>
                </c:pt>
                <c:pt idx="14">
                  <c:v>5.8333333333333327E-2</c:v>
                </c:pt>
                <c:pt idx="15">
                  <c:v>6.2499999999999993E-2</c:v>
                </c:pt>
                <c:pt idx="16">
                  <c:v>6.6666666666666666E-2</c:v>
                </c:pt>
                <c:pt idx="17">
                  <c:v>7.0833333333333331E-2</c:v>
                </c:pt>
                <c:pt idx="18">
                  <c:v>7.4999999999999997E-2</c:v>
                </c:pt>
                <c:pt idx="19">
                  <c:v>7.9166666666666663E-2</c:v>
                </c:pt>
                <c:pt idx="20">
                  <c:v>8.3333333333333329E-2</c:v>
                </c:pt>
                <c:pt idx="21">
                  <c:v>8.7499999999999994E-2</c:v>
                </c:pt>
                <c:pt idx="22">
                  <c:v>9.166666666666666E-2</c:v>
                </c:pt>
                <c:pt idx="23">
                  <c:v>9.5833333333333326E-2</c:v>
                </c:pt>
                <c:pt idx="24">
                  <c:v>9.9999999999999992E-2</c:v>
                </c:pt>
                <c:pt idx="25">
                  <c:v>0.10416666666666666</c:v>
                </c:pt>
                <c:pt idx="26">
                  <c:v>0.10833333333333332</c:v>
                </c:pt>
                <c:pt idx="27">
                  <c:v>0.11249999999999999</c:v>
                </c:pt>
                <c:pt idx="28">
                  <c:v>0.11666666666666665</c:v>
                </c:pt>
                <c:pt idx="29">
                  <c:v>0.12083333333333332</c:v>
                </c:pt>
                <c:pt idx="30">
                  <c:v>0.12499999999999999</c:v>
                </c:pt>
                <c:pt idx="31">
                  <c:v>0.12916666666666665</c:v>
                </c:pt>
                <c:pt idx="32">
                  <c:v>0.13333333333333333</c:v>
                </c:pt>
                <c:pt idx="33">
                  <c:v>0.13750000000000001</c:v>
                </c:pt>
                <c:pt idx="34">
                  <c:v>0.14166666666666669</c:v>
                </c:pt>
                <c:pt idx="35">
                  <c:v>0.14583333333333337</c:v>
                </c:pt>
                <c:pt idx="36">
                  <c:v>0.15000000000000005</c:v>
                </c:pt>
                <c:pt idx="37">
                  <c:v>0.15416666666666673</c:v>
                </c:pt>
                <c:pt idx="38">
                  <c:v>0.15833333333333341</c:v>
                </c:pt>
                <c:pt idx="39">
                  <c:v>0.16250000000000009</c:v>
                </c:pt>
                <c:pt idx="40">
                  <c:v>0.16666666666666677</c:v>
                </c:pt>
                <c:pt idx="41">
                  <c:v>0.17083333333333345</c:v>
                </c:pt>
                <c:pt idx="42">
                  <c:v>0.17500000000000013</c:v>
                </c:pt>
                <c:pt idx="43">
                  <c:v>0.17916666666666681</c:v>
                </c:pt>
                <c:pt idx="44">
                  <c:v>0.18333333333333349</c:v>
                </c:pt>
                <c:pt idx="45">
                  <c:v>0.18750000000000017</c:v>
                </c:pt>
                <c:pt idx="46">
                  <c:v>0.19166666666666685</c:v>
                </c:pt>
                <c:pt idx="47">
                  <c:v>0.19583333333333353</c:v>
                </c:pt>
                <c:pt idx="48">
                  <c:v>0.20000000000000021</c:v>
                </c:pt>
                <c:pt idx="49">
                  <c:v>0.20416666666666689</c:v>
                </c:pt>
                <c:pt idx="50">
                  <c:v>0.20833333333333356</c:v>
                </c:pt>
                <c:pt idx="51">
                  <c:v>0.21250000000000024</c:v>
                </c:pt>
                <c:pt idx="52">
                  <c:v>0.21666666666666692</c:v>
                </c:pt>
                <c:pt idx="53">
                  <c:v>0.2208333333333336</c:v>
                </c:pt>
                <c:pt idx="54">
                  <c:v>0.22500000000000028</c:v>
                </c:pt>
                <c:pt idx="55">
                  <c:v>0.22916666666666696</c:v>
                </c:pt>
                <c:pt idx="56">
                  <c:v>0.23333333333333364</c:v>
                </c:pt>
                <c:pt idx="57">
                  <c:v>0.23750000000000032</c:v>
                </c:pt>
                <c:pt idx="58">
                  <c:v>0.241666666666667</c:v>
                </c:pt>
                <c:pt idx="59">
                  <c:v>0.24583333333333368</c:v>
                </c:pt>
                <c:pt idx="60">
                  <c:v>0.25000000000000033</c:v>
                </c:pt>
                <c:pt idx="61">
                  <c:v>0.25416666666666698</c:v>
                </c:pt>
                <c:pt idx="62">
                  <c:v>0.25833333333333364</c:v>
                </c:pt>
                <c:pt idx="63">
                  <c:v>0.26250000000000029</c:v>
                </c:pt>
                <c:pt idx="64">
                  <c:v>0.26666666666666694</c:v>
                </c:pt>
                <c:pt idx="65">
                  <c:v>0.27083333333333359</c:v>
                </c:pt>
                <c:pt idx="66">
                  <c:v>0.27500000000000024</c:v>
                </c:pt>
                <c:pt idx="67">
                  <c:v>0.2791666666666669</c:v>
                </c:pt>
                <c:pt idx="68">
                  <c:v>0.28333333333333355</c:v>
                </c:pt>
                <c:pt idx="69">
                  <c:v>0.2875000000000002</c:v>
                </c:pt>
                <c:pt idx="70">
                  <c:v>0.29166666666666685</c:v>
                </c:pt>
                <c:pt idx="71">
                  <c:v>0.2958333333333335</c:v>
                </c:pt>
                <c:pt idx="72">
                  <c:v>0.30000000000000016</c:v>
                </c:pt>
                <c:pt idx="73">
                  <c:v>0.30416666666666681</c:v>
                </c:pt>
                <c:pt idx="74">
                  <c:v>0.30833333333333346</c:v>
                </c:pt>
                <c:pt idx="75">
                  <c:v>0.31250000000000011</c:v>
                </c:pt>
                <c:pt idx="76">
                  <c:v>0.31666666666666676</c:v>
                </c:pt>
                <c:pt idx="77">
                  <c:v>0.32083333333333341</c:v>
                </c:pt>
                <c:pt idx="78">
                  <c:v>0.32500000000000007</c:v>
                </c:pt>
                <c:pt idx="79">
                  <c:v>0.32916666666666672</c:v>
                </c:pt>
                <c:pt idx="80">
                  <c:v>0.33333333333333337</c:v>
                </c:pt>
                <c:pt idx="81">
                  <c:v>0.33750000000000002</c:v>
                </c:pt>
                <c:pt idx="82">
                  <c:v>0.34166666666666667</c:v>
                </c:pt>
                <c:pt idx="83">
                  <c:v>0.34583333333333333</c:v>
                </c:pt>
                <c:pt idx="84">
                  <c:v>0.35</c:v>
                </c:pt>
                <c:pt idx="85">
                  <c:v>0.35416666666666663</c:v>
                </c:pt>
                <c:pt idx="86">
                  <c:v>0.35833333333333328</c:v>
                </c:pt>
                <c:pt idx="87">
                  <c:v>0.36249999999999993</c:v>
                </c:pt>
                <c:pt idx="88">
                  <c:v>0.36666666666666659</c:v>
                </c:pt>
                <c:pt idx="89">
                  <c:v>0.37083333333333324</c:v>
                </c:pt>
                <c:pt idx="90">
                  <c:v>0.37499999999999989</c:v>
                </c:pt>
                <c:pt idx="91">
                  <c:v>0.37916666666666654</c:v>
                </c:pt>
                <c:pt idx="92">
                  <c:v>0.38333333333333319</c:v>
                </c:pt>
                <c:pt idx="93">
                  <c:v>0.38749999999999984</c:v>
                </c:pt>
                <c:pt idx="94">
                  <c:v>0.3916666666666665</c:v>
                </c:pt>
                <c:pt idx="95">
                  <c:v>0.39583333333333315</c:v>
                </c:pt>
                <c:pt idx="96">
                  <c:v>0.3999999999999998</c:v>
                </c:pt>
                <c:pt idx="97">
                  <c:v>0.40416666666666645</c:v>
                </c:pt>
                <c:pt idx="98">
                  <c:v>0.4083333333333331</c:v>
                </c:pt>
                <c:pt idx="99">
                  <c:v>0.41249999999999976</c:v>
                </c:pt>
                <c:pt idx="100">
                  <c:v>0.41666666666666641</c:v>
                </c:pt>
                <c:pt idx="101">
                  <c:v>0.42083333333333306</c:v>
                </c:pt>
                <c:pt idx="102">
                  <c:v>0.42499999999999971</c:v>
                </c:pt>
                <c:pt idx="103">
                  <c:v>0.42916666666666636</c:v>
                </c:pt>
                <c:pt idx="104">
                  <c:v>0.43333333333333302</c:v>
                </c:pt>
                <c:pt idx="105">
                  <c:v>0.43749999999999967</c:v>
                </c:pt>
                <c:pt idx="106">
                  <c:v>0.44166666666666632</c:v>
                </c:pt>
                <c:pt idx="107">
                  <c:v>0.44583333333333297</c:v>
                </c:pt>
                <c:pt idx="108">
                  <c:v>0.44999999999999962</c:v>
                </c:pt>
                <c:pt idx="109">
                  <c:v>0.45416666666666627</c:v>
                </c:pt>
                <c:pt idx="110">
                  <c:v>0.45833333333333293</c:v>
                </c:pt>
                <c:pt idx="111">
                  <c:v>0.46249999999999958</c:v>
                </c:pt>
                <c:pt idx="112">
                  <c:v>0.46666666666666623</c:v>
                </c:pt>
                <c:pt idx="113">
                  <c:v>0.47083333333333288</c:v>
                </c:pt>
                <c:pt idx="114">
                  <c:v>0.47499999999999953</c:v>
                </c:pt>
                <c:pt idx="115">
                  <c:v>0.47916666666666619</c:v>
                </c:pt>
                <c:pt idx="116">
                  <c:v>0.48333333333333284</c:v>
                </c:pt>
                <c:pt idx="117">
                  <c:v>0.48749999999999949</c:v>
                </c:pt>
                <c:pt idx="118">
                  <c:v>0.49166666666666614</c:v>
                </c:pt>
                <c:pt idx="119">
                  <c:v>0.49583333333333279</c:v>
                </c:pt>
                <c:pt idx="120">
                  <c:v>0.49999999999999944</c:v>
                </c:pt>
                <c:pt idx="121">
                  <c:v>0.5041666666666661</c:v>
                </c:pt>
                <c:pt idx="122">
                  <c:v>0.50833333333333275</c:v>
                </c:pt>
                <c:pt idx="123">
                  <c:v>0.5124999999999994</c:v>
                </c:pt>
                <c:pt idx="124">
                  <c:v>0.51666666666666605</c:v>
                </c:pt>
                <c:pt idx="125">
                  <c:v>0.5208333333333327</c:v>
                </c:pt>
                <c:pt idx="126">
                  <c:v>0.52499999999999936</c:v>
                </c:pt>
                <c:pt idx="127">
                  <c:v>0.52916666666666601</c:v>
                </c:pt>
                <c:pt idx="128">
                  <c:v>0.53333333333333266</c:v>
                </c:pt>
                <c:pt idx="129">
                  <c:v>0.53749999999999931</c:v>
                </c:pt>
                <c:pt idx="130">
                  <c:v>0.54166666666666596</c:v>
                </c:pt>
                <c:pt idx="131">
                  <c:v>0.54583333333333262</c:v>
                </c:pt>
                <c:pt idx="132">
                  <c:v>0.54999999999999927</c:v>
                </c:pt>
                <c:pt idx="133">
                  <c:v>0.55416666666666592</c:v>
                </c:pt>
                <c:pt idx="134">
                  <c:v>0.55833333333333257</c:v>
                </c:pt>
                <c:pt idx="135">
                  <c:v>0.56249999999999922</c:v>
                </c:pt>
                <c:pt idx="136">
                  <c:v>0.56666666666666587</c:v>
                </c:pt>
                <c:pt idx="137">
                  <c:v>0.57083333333333253</c:v>
                </c:pt>
                <c:pt idx="138">
                  <c:v>0.57499999999999918</c:v>
                </c:pt>
                <c:pt idx="139">
                  <c:v>0.57916666666666583</c:v>
                </c:pt>
                <c:pt idx="140">
                  <c:v>0.58333333333333248</c:v>
                </c:pt>
                <c:pt idx="141">
                  <c:v>0.58749999999999913</c:v>
                </c:pt>
                <c:pt idx="142">
                  <c:v>0.59166666666666579</c:v>
                </c:pt>
                <c:pt idx="143">
                  <c:v>0.59583333333333244</c:v>
                </c:pt>
                <c:pt idx="144">
                  <c:v>0.59999999999999909</c:v>
                </c:pt>
                <c:pt idx="145">
                  <c:v>0.60416666666666574</c:v>
                </c:pt>
                <c:pt idx="146">
                  <c:v>0.60833333333333239</c:v>
                </c:pt>
                <c:pt idx="147">
                  <c:v>0.61249999999999905</c:v>
                </c:pt>
                <c:pt idx="148">
                  <c:v>0.6166666666666657</c:v>
                </c:pt>
                <c:pt idx="149">
                  <c:v>0.62083333333333235</c:v>
                </c:pt>
                <c:pt idx="150">
                  <c:v>0.624999999999999</c:v>
                </c:pt>
                <c:pt idx="151">
                  <c:v>0.62916666666666565</c:v>
                </c:pt>
                <c:pt idx="152">
                  <c:v>0.6333333333333323</c:v>
                </c:pt>
                <c:pt idx="153">
                  <c:v>0.63749999999999896</c:v>
                </c:pt>
                <c:pt idx="154">
                  <c:v>0.64166666666666561</c:v>
                </c:pt>
                <c:pt idx="155">
                  <c:v>0.64583333333333226</c:v>
                </c:pt>
                <c:pt idx="156">
                  <c:v>0.64999999999999891</c:v>
                </c:pt>
                <c:pt idx="157">
                  <c:v>0.65416666666666556</c:v>
                </c:pt>
                <c:pt idx="158">
                  <c:v>0.65833333333333222</c:v>
                </c:pt>
                <c:pt idx="159">
                  <c:v>0.66249999999999887</c:v>
                </c:pt>
                <c:pt idx="160">
                  <c:v>0.66666666666666552</c:v>
                </c:pt>
                <c:pt idx="161">
                  <c:v>0.67083333333333217</c:v>
                </c:pt>
                <c:pt idx="162">
                  <c:v>0.67499999999999882</c:v>
                </c:pt>
                <c:pt idx="163">
                  <c:v>0.67916666666666548</c:v>
                </c:pt>
                <c:pt idx="164">
                  <c:v>0.68333333333333213</c:v>
                </c:pt>
                <c:pt idx="165">
                  <c:v>0.68749999999999878</c:v>
                </c:pt>
                <c:pt idx="166">
                  <c:v>0.69166666666666543</c:v>
                </c:pt>
                <c:pt idx="167">
                  <c:v>0.69583333333333208</c:v>
                </c:pt>
                <c:pt idx="168">
                  <c:v>0.69999999999999873</c:v>
                </c:pt>
                <c:pt idx="169">
                  <c:v>0.70416666666666539</c:v>
                </c:pt>
                <c:pt idx="170">
                  <c:v>0.70833333333333204</c:v>
                </c:pt>
                <c:pt idx="171">
                  <c:v>0.71249999999999869</c:v>
                </c:pt>
                <c:pt idx="172">
                  <c:v>0.71666666666666534</c:v>
                </c:pt>
                <c:pt idx="173">
                  <c:v>0.72083333333333199</c:v>
                </c:pt>
                <c:pt idx="174">
                  <c:v>0.72499999999999865</c:v>
                </c:pt>
                <c:pt idx="175">
                  <c:v>0.7291666666666653</c:v>
                </c:pt>
                <c:pt idx="176">
                  <c:v>0.73333333333333195</c:v>
                </c:pt>
                <c:pt idx="177">
                  <c:v>0.7374999999999986</c:v>
                </c:pt>
                <c:pt idx="178">
                  <c:v>0.74166666666666525</c:v>
                </c:pt>
                <c:pt idx="179">
                  <c:v>0.7458333333333319</c:v>
                </c:pt>
                <c:pt idx="180">
                  <c:v>0.74999999999999856</c:v>
                </c:pt>
                <c:pt idx="181">
                  <c:v>0.75416666666666521</c:v>
                </c:pt>
                <c:pt idx="182">
                  <c:v>0.75833333333333186</c:v>
                </c:pt>
                <c:pt idx="183">
                  <c:v>0.76249999999999851</c:v>
                </c:pt>
                <c:pt idx="184">
                  <c:v>0.76666666666666516</c:v>
                </c:pt>
                <c:pt idx="185">
                  <c:v>0.77083333333333182</c:v>
                </c:pt>
                <c:pt idx="186">
                  <c:v>0.77499999999999847</c:v>
                </c:pt>
                <c:pt idx="187">
                  <c:v>0.77916666666666512</c:v>
                </c:pt>
                <c:pt idx="188">
                  <c:v>0.78333333333333177</c:v>
                </c:pt>
                <c:pt idx="189">
                  <c:v>0.78749999999999842</c:v>
                </c:pt>
                <c:pt idx="190">
                  <c:v>0.79166666666666508</c:v>
                </c:pt>
                <c:pt idx="191">
                  <c:v>0.79583333333333173</c:v>
                </c:pt>
                <c:pt idx="192">
                  <c:v>0.79999999999999838</c:v>
                </c:pt>
                <c:pt idx="193">
                  <c:v>0.80416666666666503</c:v>
                </c:pt>
                <c:pt idx="194">
                  <c:v>0.80833333333333168</c:v>
                </c:pt>
                <c:pt idx="195">
                  <c:v>0.81249999999999833</c:v>
                </c:pt>
                <c:pt idx="196">
                  <c:v>0.81666666666666499</c:v>
                </c:pt>
                <c:pt idx="197">
                  <c:v>0.82083333333333164</c:v>
                </c:pt>
                <c:pt idx="198">
                  <c:v>0.82499999999999829</c:v>
                </c:pt>
                <c:pt idx="199">
                  <c:v>0.82916666666666494</c:v>
                </c:pt>
                <c:pt idx="200">
                  <c:v>0.83333333333333159</c:v>
                </c:pt>
                <c:pt idx="201">
                  <c:v>0.83749999999999825</c:v>
                </c:pt>
                <c:pt idx="202">
                  <c:v>0.8416666666666649</c:v>
                </c:pt>
                <c:pt idx="203">
                  <c:v>0.84583333333333155</c:v>
                </c:pt>
                <c:pt idx="204">
                  <c:v>0.8499999999999982</c:v>
                </c:pt>
                <c:pt idx="205">
                  <c:v>0.85416666666666485</c:v>
                </c:pt>
                <c:pt idx="206">
                  <c:v>0.85833333333333151</c:v>
                </c:pt>
                <c:pt idx="207">
                  <c:v>0.86249999999999816</c:v>
                </c:pt>
                <c:pt idx="208">
                  <c:v>0.86666666666666481</c:v>
                </c:pt>
                <c:pt idx="209">
                  <c:v>0.87083333333333146</c:v>
                </c:pt>
                <c:pt idx="210">
                  <c:v>0.87499999999999811</c:v>
                </c:pt>
                <c:pt idx="211">
                  <c:v>0.87916666666666476</c:v>
                </c:pt>
                <c:pt idx="212">
                  <c:v>0.88333333333333142</c:v>
                </c:pt>
                <c:pt idx="213">
                  <c:v>0.88749999999999807</c:v>
                </c:pt>
                <c:pt idx="214">
                  <c:v>0.89166666666666472</c:v>
                </c:pt>
                <c:pt idx="215">
                  <c:v>0.89583333333333137</c:v>
                </c:pt>
                <c:pt idx="216">
                  <c:v>0.89999999999999802</c:v>
                </c:pt>
                <c:pt idx="217">
                  <c:v>0.90416666666666468</c:v>
                </c:pt>
                <c:pt idx="218">
                  <c:v>0.90833333333333133</c:v>
                </c:pt>
                <c:pt idx="219">
                  <c:v>0.91249999999999798</c:v>
                </c:pt>
                <c:pt idx="220">
                  <c:v>0.91666666666666463</c:v>
                </c:pt>
                <c:pt idx="221">
                  <c:v>0.92083333333333128</c:v>
                </c:pt>
                <c:pt idx="222">
                  <c:v>0.92499999999999793</c:v>
                </c:pt>
                <c:pt idx="223">
                  <c:v>0.92916666666666459</c:v>
                </c:pt>
                <c:pt idx="224">
                  <c:v>0.93333333333333124</c:v>
                </c:pt>
                <c:pt idx="225">
                  <c:v>0.93749999999999789</c:v>
                </c:pt>
                <c:pt idx="226">
                  <c:v>0.94166666666666454</c:v>
                </c:pt>
                <c:pt idx="227">
                  <c:v>0.94583333333333119</c:v>
                </c:pt>
                <c:pt idx="228">
                  <c:v>0.94999999999999785</c:v>
                </c:pt>
                <c:pt idx="229">
                  <c:v>0.9541666666666645</c:v>
                </c:pt>
                <c:pt idx="230">
                  <c:v>0.95833333333333115</c:v>
                </c:pt>
                <c:pt idx="231">
                  <c:v>0.9624999999999978</c:v>
                </c:pt>
                <c:pt idx="232">
                  <c:v>0.96666666666666445</c:v>
                </c:pt>
                <c:pt idx="233">
                  <c:v>0.97083333333333111</c:v>
                </c:pt>
                <c:pt idx="234">
                  <c:v>0.97499999999999776</c:v>
                </c:pt>
                <c:pt idx="235">
                  <c:v>0.97916666666666441</c:v>
                </c:pt>
                <c:pt idx="236">
                  <c:v>0.98333333333333106</c:v>
                </c:pt>
                <c:pt idx="237">
                  <c:v>0.98749999999999771</c:v>
                </c:pt>
                <c:pt idx="238">
                  <c:v>0.99166666666666436</c:v>
                </c:pt>
                <c:pt idx="239">
                  <c:v>0.99583333333333102</c:v>
                </c:pt>
                <c:pt idx="240">
                  <c:v>0.99999999999999767</c:v>
                </c:pt>
                <c:pt idx="241">
                  <c:v>1.0041666666666644</c:v>
                </c:pt>
                <c:pt idx="242">
                  <c:v>1.0083333333333311</c:v>
                </c:pt>
                <c:pt idx="243">
                  <c:v>1.0124999999999977</c:v>
                </c:pt>
                <c:pt idx="244">
                  <c:v>1.0166666666666644</c:v>
                </c:pt>
                <c:pt idx="245">
                  <c:v>1.020833333333331</c:v>
                </c:pt>
                <c:pt idx="246">
                  <c:v>1.0249999999999977</c:v>
                </c:pt>
                <c:pt idx="247">
                  <c:v>1.0291666666666643</c:v>
                </c:pt>
                <c:pt idx="248">
                  <c:v>1.033333333333331</c:v>
                </c:pt>
                <c:pt idx="249">
                  <c:v>1.0374999999999976</c:v>
                </c:pt>
                <c:pt idx="250">
                  <c:v>1.0416666666666643</c:v>
                </c:pt>
                <c:pt idx="251">
                  <c:v>1.045833333333331</c:v>
                </c:pt>
                <c:pt idx="252">
                  <c:v>1.0499999999999976</c:v>
                </c:pt>
                <c:pt idx="253">
                  <c:v>1.0541666666666643</c:v>
                </c:pt>
                <c:pt idx="254">
                  <c:v>1.0583333333333309</c:v>
                </c:pt>
                <c:pt idx="255">
                  <c:v>1.0624999999999976</c:v>
                </c:pt>
                <c:pt idx="256">
                  <c:v>1.0666666666666642</c:v>
                </c:pt>
                <c:pt idx="257">
                  <c:v>1.0708333333333309</c:v>
                </c:pt>
                <c:pt idx="258">
                  <c:v>1.0749999999999975</c:v>
                </c:pt>
                <c:pt idx="259">
                  <c:v>1.0791666666666642</c:v>
                </c:pt>
                <c:pt idx="260">
                  <c:v>1.0833333333333308</c:v>
                </c:pt>
                <c:pt idx="261">
                  <c:v>1.0874999999999975</c:v>
                </c:pt>
                <c:pt idx="262">
                  <c:v>1.0916666666666641</c:v>
                </c:pt>
                <c:pt idx="263">
                  <c:v>1.0958333333333308</c:v>
                </c:pt>
                <c:pt idx="264">
                  <c:v>1.0999999999999974</c:v>
                </c:pt>
                <c:pt idx="265">
                  <c:v>1.1041666666666641</c:v>
                </c:pt>
                <c:pt idx="266">
                  <c:v>1.1083333333333307</c:v>
                </c:pt>
                <c:pt idx="267">
                  <c:v>1.1124999999999974</c:v>
                </c:pt>
                <c:pt idx="268">
                  <c:v>1.116666666666664</c:v>
                </c:pt>
                <c:pt idx="269">
                  <c:v>1.1208333333333307</c:v>
                </c:pt>
                <c:pt idx="270">
                  <c:v>1.1249999999999973</c:v>
                </c:pt>
                <c:pt idx="271">
                  <c:v>1.129166666666664</c:v>
                </c:pt>
                <c:pt idx="272">
                  <c:v>1.1333333333333306</c:v>
                </c:pt>
                <c:pt idx="273">
                  <c:v>1.1374999999999973</c:v>
                </c:pt>
                <c:pt idx="274">
                  <c:v>1.1416666666666639</c:v>
                </c:pt>
                <c:pt idx="275">
                  <c:v>1.1458333333333306</c:v>
                </c:pt>
                <c:pt idx="276">
                  <c:v>1.1499999999999972</c:v>
                </c:pt>
                <c:pt idx="277">
                  <c:v>1.1541666666666639</c:v>
                </c:pt>
                <c:pt idx="278">
                  <c:v>1.1583333333333306</c:v>
                </c:pt>
                <c:pt idx="279">
                  <c:v>1.1624999999999972</c:v>
                </c:pt>
                <c:pt idx="280">
                  <c:v>1.1666666666666639</c:v>
                </c:pt>
                <c:pt idx="281">
                  <c:v>1.1708333333333305</c:v>
                </c:pt>
                <c:pt idx="282">
                  <c:v>1.1749999999999972</c:v>
                </c:pt>
                <c:pt idx="283">
                  <c:v>1.1791666666666638</c:v>
                </c:pt>
                <c:pt idx="284">
                  <c:v>1.1833333333333305</c:v>
                </c:pt>
                <c:pt idx="285">
                  <c:v>1.1874999999999971</c:v>
                </c:pt>
                <c:pt idx="286">
                  <c:v>1.1916666666666638</c:v>
                </c:pt>
                <c:pt idx="287">
                  <c:v>1.1958333333333304</c:v>
                </c:pt>
                <c:pt idx="288">
                  <c:v>1.1999999999999971</c:v>
                </c:pt>
                <c:pt idx="289">
                  <c:v>1.2041666666666637</c:v>
                </c:pt>
                <c:pt idx="290">
                  <c:v>1.2083333333333304</c:v>
                </c:pt>
                <c:pt idx="291">
                  <c:v>1.212499999999997</c:v>
                </c:pt>
                <c:pt idx="292">
                  <c:v>1.2166666666666637</c:v>
                </c:pt>
                <c:pt idx="293">
                  <c:v>1.2208333333333303</c:v>
                </c:pt>
                <c:pt idx="294">
                  <c:v>1.224999999999997</c:v>
                </c:pt>
                <c:pt idx="295">
                  <c:v>1.2291666666666636</c:v>
                </c:pt>
                <c:pt idx="296">
                  <c:v>1.2333333333333303</c:v>
                </c:pt>
                <c:pt idx="297">
                  <c:v>1.2374999999999969</c:v>
                </c:pt>
                <c:pt idx="298">
                  <c:v>1.2416666666666636</c:v>
                </c:pt>
                <c:pt idx="299">
                  <c:v>1.2458333333333302</c:v>
                </c:pt>
                <c:pt idx="300">
                  <c:v>1.2499999999999969</c:v>
                </c:pt>
                <c:pt idx="301">
                  <c:v>1.2541666666666635</c:v>
                </c:pt>
                <c:pt idx="302">
                  <c:v>1.2583333333333302</c:v>
                </c:pt>
                <c:pt idx="303">
                  <c:v>1.2624999999999968</c:v>
                </c:pt>
                <c:pt idx="304">
                  <c:v>1.2666666666666635</c:v>
                </c:pt>
                <c:pt idx="305">
                  <c:v>1.2708333333333302</c:v>
                </c:pt>
                <c:pt idx="306">
                  <c:v>1.2749999999999968</c:v>
                </c:pt>
                <c:pt idx="307">
                  <c:v>1.2791666666666635</c:v>
                </c:pt>
                <c:pt idx="308">
                  <c:v>1.2833333333333301</c:v>
                </c:pt>
                <c:pt idx="309">
                  <c:v>1.2874999999999968</c:v>
                </c:pt>
                <c:pt idx="310">
                  <c:v>1.2916666666666634</c:v>
                </c:pt>
                <c:pt idx="311">
                  <c:v>1.2958333333333301</c:v>
                </c:pt>
                <c:pt idx="312">
                  <c:v>1.2999999999999967</c:v>
                </c:pt>
                <c:pt idx="313">
                  <c:v>1.3041666666666634</c:v>
                </c:pt>
                <c:pt idx="314">
                  <c:v>1.30833333333333</c:v>
                </c:pt>
                <c:pt idx="315">
                  <c:v>1.3124999999999967</c:v>
                </c:pt>
                <c:pt idx="316">
                  <c:v>1.3166666666666633</c:v>
                </c:pt>
                <c:pt idx="317">
                  <c:v>1.32083333333333</c:v>
                </c:pt>
                <c:pt idx="318">
                  <c:v>1.3249999999999966</c:v>
                </c:pt>
                <c:pt idx="319">
                  <c:v>1.3291666666666633</c:v>
                </c:pt>
                <c:pt idx="320">
                  <c:v>1.3333333333333299</c:v>
                </c:pt>
                <c:pt idx="321">
                  <c:v>1.3374999999999966</c:v>
                </c:pt>
                <c:pt idx="322">
                  <c:v>1.3416666666666632</c:v>
                </c:pt>
                <c:pt idx="323">
                  <c:v>1.3458333333333299</c:v>
                </c:pt>
                <c:pt idx="324">
                  <c:v>1.3499999999999965</c:v>
                </c:pt>
                <c:pt idx="325">
                  <c:v>1.3541666666666632</c:v>
                </c:pt>
                <c:pt idx="326">
                  <c:v>1.3583333333333298</c:v>
                </c:pt>
                <c:pt idx="327">
                  <c:v>1.3624999999999965</c:v>
                </c:pt>
                <c:pt idx="328">
                  <c:v>1.3666666666666631</c:v>
                </c:pt>
                <c:pt idx="329">
                  <c:v>1.3708333333333298</c:v>
                </c:pt>
                <c:pt idx="330">
                  <c:v>1.3749999999999964</c:v>
                </c:pt>
                <c:pt idx="331">
                  <c:v>1.3791666666666631</c:v>
                </c:pt>
                <c:pt idx="332">
                  <c:v>1.3833333333333298</c:v>
                </c:pt>
                <c:pt idx="333">
                  <c:v>1.3874999999999964</c:v>
                </c:pt>
                <c:pt idx="334">
                  <c:v>1.3916666666666631</c:v>
                </c:pt>
                <c:pt idx="335">
                  <c:v>1.3958333333333297</c:v>
                </c:pt>
                <c:pt idx="336">
                  <c:v>1.3999999999999964</c:v>
                </c:pt>
                <c:pt idx="337">
                  <c:v>1.404166666666663</c:v>
                </c:pt>
                <c:pt idx="338">
                  <c:v>1.4083333333333297</c:v>
                </c:pt>
                <c:pt idx="339">
                  <c:v>1.4124999999999963</c:v>
                </c:pt>
                <c:pt idx="340">
                  <c:v>1.416666666666663</c:v>
                </c:pt>
                <c:pt idx="341">
                  <c:v>1.4208333333333296</c:v>
                </c:pt>
                <c:pt idx="342">
                  <c:v>1.4249999999999963</c:v>
                </c:pt>
                <c:pt idx="343">
                  <c:v>1.4291666666666629</c:v>
                </c:pt>
                <c:pt idx="344">
                  <c:v>1.4333333333333296</c:v>
                </c:pt>
                <c:pt idx="345">
                  <c:v>1.4374999999999962</c:v>
                </c:pt>
                <c:pt idx="346">
                  <c:v>1.4416666666666629</c:v>
                </c:pt>
                <c:pt idx="347">
                  <c:v>1.4458333333333295</c:v>
                </c:pt>
                <c:pt idx="348">
                  <c:v>1.4499999999999962</c:v>
                </c:pt>
                <c:pt idx="349">
                  <c:v>1.4541666666666628</c:v>
                </c:pt>
                <c:pt idx="350">
                  <c:v>1.4583333333333295</c:v>
                </c:pt>
                <c:pt idx="351">
                  <c:v>1.4624999999999961</c:v>
                </c:pt>
                <c:pt idx="352">
                  <c:v>1.4666666666666628</c:v>
                </c:pt>
                <c:pt idx="353">
                  <c:v>1.4708333333333294</c:v>
                </c:pt>
                <c:pt idx="354">
                  <c:v>1.4749999999999961</c:v>
                </c:pt>
                <c:pt idx="355">
                  <c:v>1.4791666666666627</c:v>
                </c:pt>
                <c:pt idx="356">
                  <c:v>1.4833333333333294</c:v>
                </c:pt>
                <c:pt idx="357">
                  <c:v>1.487499999999996</c:v>
                </c:pt>
                <c:pt idx="358">
                  <c:v>1.4916666666666627</c:v>
                </c:pt>
                <c:pt idx="359">
                  <c:v>1.4958333333333294</c:v>
                </c:pt>
                <c:pt idx="360">
                  <c:v>1.499999999999996</c:v>
                </c:pt>
                <c:pt idx="361">
                  <c:v>1.5041666666666627</c:v>
                </c:pt>
                <c:pt idx="362">
                  <c:v>1.5083333333333293</c:v>
                </c:pt>
                <c:pt idx="363">
                  <c:v>1.512499999999996</c:v>
                </c:pt>
                <c:pt idx="364">
                  <c:v>1.5166666666666626</c:v>
                </c:pt>
                <c:pt idx="365">
                  <c:v>1.5208333333333293</c:v>
                </c:pt>
                <c:pt idx="366">
                  <c:v>1.5249999999999959</c:v>
                </c:pt>
                <c:pt idx="367">
                  <c:v>1.5291666666666626</c:v>
                </c:pt>
                <c:pt idx="368">
                  <c:v>1.5333333333333292</c:v>
                </c:pt>
                <c:pt idx="369">
                  <c:v>1.5374999999999959</c:v>
                </c:pt>
                <c:pt idx="370">
                  <c:v>1.5416666666666625</c:v>
                </c:pt>
                <c:pt idx="371">
                  <c:v>1.5458333333333292</c:v>
                </c:pt>
                <c:pt idx="372">
                  <c:v>1.5499999999999958</c:v>
                </c:pt>
                <c:pt idx="373">
                  <c:v>1.5541666666666625</c:v>
                </c:pt>
                <c:pt idx="374">
                  <c:v>1.5583333333333291</c:v>
                </c:pt>
                <c:pt idx="375">
                  <c:v>1.5624999999999958</c:v>
                </c:pt>
                <c:pt idx="376">
                  <c:v>1.5666666666666624</c:v>
                </c:pt>
                <c:pt idx="377">
                  <c:v>1.5708333333333291</c:v>
                </c:pt>
                <c:pt idx="378">
                  <c:v>1.5749999999999957</c:v>
                </c:pt>
                <c:pt idx="379">
                  <c:v>1.5791666666666624</c:v>
                </c:pt>
                <c:pt idx="380">
                  <c:v>1.583333333333329</c:v>
                </c:pt>
                <c:pt idx="381">
                  <c:v>1.5874999999999957</c:v>
                </c:pt>
                <c:pt idx="382">
                  <c:v>1.5916666666666623</c:v>
                </c:pt>
                <c:pt idx="383">
                  <c:v>1.595833333333329</c:v>
                </c:pt>
                <c:pt idx="384">
                  <c:v>1.5999999999999956</c:v>
                </c:pt>
                <c:pt idx="385">
                  <c:v>1.6041666666666623</c:v>
                </c:pt>
                <c:pt idx="386">
                  <c:v>1.608333333333329</c:v>
                </c:pt>
                <c:pt idx="387">
                  <c:v>1.6124999999999956</c:v>
                </c:pt>
                <c:pt idx="388">
                  <c:v>1.6166666666666623</c:v>
                </c:pt>
                <c:pt idx="389">
                  <c:v>1.6208333333333289</c:v>
                </c:pt>
                <c:pt idx="390">
                  <c:v>1.6249999999999956</c:v>
                </c:pt>
                <c:pt idx="391">
                  <c:v>1.6291666666666622</c:v>
                </c:pt>
                <c:pt idx="392">
                  <c:v>1.6333333333333289</c:v>
                </c:pt>
                <c:pt idx="393">
                  <c:v>1.6374999999999955</c:v>
                </c:pt>
                <c:pt idx="394">
                  <c:v>1.6416666666666622</c:v>
                </c:pt>
                <c:pt idx="395">
                  <c:v>1.6458333333333288</c:v>
                </c:pt>
                <c:pt idx="396">
                  <c:v>1.6499999999999955</c:v>
                </c:pt>
                <c:pt idx="397">
                  <c:v>1.6541666666666621</c:v>
                </c:pt>
                <c:pt idx="398">
                  <c:v>1.6583333333333288</c:v>
                </c:pt>
                <c:pt idx="399">
                  <c:v>1.6624999999999954</c:v>
                </c:pt>
                <c:pt idx="400">
                  <c:v>1.6666666666666621</c:v>
                </c:pt>
                <c:pt idx="401">
                  <c:v>1.6708333333333287</c:v>
                </c:pt>
                <c:pt idx="402">
                  <c:v>1.6749999999999954</c:v>
                </c:pt>
                <c:pt idx="403">
                  <c:v>1.679166666666662</c:v>
                </c:pt>
                <c:pt idx="404">
                  <c:v>1.6833333333333287</c:v>
                </c:pt>
                <c:pt idx="405">
                  <c:v>1.6874999999999953</c:v>
                </c:pt>
                <c:pt idx="406">
                  <c:v>1.691666666666662</c:v>
                </c:pt>
                <c:pt idx="407">
                  <c:v>1.6958333333333286</c:v>
                </c:pt>
                <c:pt idx="408">
                  <c:v>1.6999999999999953</c:v>
                </c:pt>
                <c:pt idx="409">
                  <c:v>1.7041666666666619</c:v>
                </c:pt>
                <c:pt idx="410">
                  <c:v>1.7083333333333286</c:v>
                </c:pt>
                <c:pt idx="411">
                  <c:v>1.7124999999999952</c:v>
                </c:pt>
                <c:pt idx="412">
                  <c:v>1.7166666666666619</c:v>
                </c:pt>
                <c:pt idx="413">
                  <c:v>1.7208333333333286</c:v>
                </c:pt>
                <c:pt idx="414">
                  <c:v>1.7249999999999952</c:v>
                </c:pt>
                <c:pt idx="415">
                  <c:v>1.7291666666666619</c:v>
                </c:pt>
                <c:pt idx="416">
                  <c:v>1.7333333333333285</c:v>
                </c:pt>
                <c:pt idx="417">
                  <c:v>1.7374999999999952</c:v>
                </c:pt>
                <c:pt idx="418">
                  <c:v>1.7416666666666618</c:v>
                </c:pt>
                <c:pt idx="419">
                  <c:v>1.7458333333333285</c:v>
                </c:pt>
                <c:pt idx="420">
                  <c:v>1.7499999999999951</c:v>
                </c:pt>
                <c:pt idx="421">
                  <c:v>1.7541666666666618</c:v>
                </c:pt>
                <c:pt idx="422">
                  <c:v>1.7583333333333284</c:v>
                </c:pt>
                <c:pt idx="423">
                  <c:v>1.7624999999999951</c:v>
                </c:pt>
                <c:pt idx="424">
                  <c:v>1.7666666666666617</c:v>
                </c:pt>
                <c:pt idx="425">
                  <c:v>1.7708333333333284</c:v>
                </c:pt>
                <c:pt idx="426">
                  <c:v>1.774999999999995</c:v>
                </c:pt>
                <c:pt idx="427">
                  <c:v>1.7791666666666617</c:v>
                </c:pt>
                <c:pt idx="428">
                  <c:v>1.7833333333333283</c:v>
                </c:pt>
                <c:pt idx="429">
                  <c:v>1.787499999999995</c:v>
                </c:pt>
                <c:pt idx="430">
                  <c:v>1.7916666666666616</c:v>
                </c:pt>
                <c:pt idx="431">
                  <c:v>1.7958333333333283</c:v>
                </c:pt>
                <c:pt idx="432">
                  <c:v>1.7999999999999949</c:v>
                </c:pt>
                <c:pt idx="433">
                  <c:v>1.8041666666666616</c:v>
                </c:pt>
                <c:pt idx="434">
                  <c:v>1.8083333333333282</c:v>
                </c:pt>
                <c:pt idx="435">
                  <c:v>1.8124999999999949</c:v>
                </c:pt>
                <c:pt idx="436">
                  <c:v>1.8166666666666615</c:v>
                </c:pt>
                <c:pt idx="437">
                  <c:v>1.8208333333333282</c:v>
                </c:pt>
                <c:pt idx="438">
                  <c:v>1.8249999999999948</c:v>
                </c:pt>
                <c:pt idx="439">
                  <c:v>1.8291666666666615</c:v>
                </c:pt>
                <c:pt idx="440">
                  <c:v>1.8333333333333282</c:v>
                </c:pt>
                <c:pt idx="441">
                  <c:v>1.8374999999999948</c:v>
                </c:pt>
                <c:pt idx="442">
                  <c:v>1.8416666666666615</c:v>
                </c:pt>
                <c:pt idx="443">
                  <c:v>1.8458333333333281</c:v>
                </c:pt>
                <c:pt idx="444">
                  <c:v>1.8499999999999948</c:v>
                </c:pt>
                <c:pt idx="445">
                  <c:v>1.8541666666666614</c:v>
                </c:pt>
                <c:pt idx="446">
                  <c:v>1.8583333333333281</c:v>
                </c:pt>
                <c:pt idx="447">
                  <c:v>1.8624999999999947</c:v>
                </c:pt>
                <c:pt idx="448">
                  <c:v>1.8666666666666614</c:v>
                </c:pt>
                <c:pt idx="449">
                  <c:v>1.870833333333328</c:v>
                </c:pt>
                <c:pt idx="450">
                  <c:v>1.8749999999999947</c:v>
                </c:pt>
                <c:pt idx="451">
                  <c:v>1.8791666666666613</c:v>
                </c:pt>
                <c:pt idx="452">
                  <c:v>1.883333333333328</c:v>
                </c:pt>
                <c:pt idx="453">
                  <c:v>1.8874999999999946</c:v>
                </c:pt>
                <c:pt idx="454">
                  <c:v>1.8916666666666613</c:v>
                </c:pt>
                <c:pt idx="455">
                  <c:v>1.8958333333333279</c:v>
                </c:pt>
                <c:pt idx="456">
                  <c:v>1.8999999999999946</c:v>
                </c:pt>
                <c:pt idx="457">
                  <c:v>1.9041666666666612</c:v>
                </c:pt>
                <c:pt idx="458">
                  <c:v>1.9083333333333279</c:v>
                </c:pt>
                <c:pt idx="459">
                  <c:v>1.9124999999999945</c:v>
                </c:pt>
                <c:pt idx="460">
                  <c:v>1.9166666666666612</c:v>
                </c:pt>
                <c:pt idx="461">
                  <c:v>1.9208333333333278</c:v>
                </c:pt>
                <c:pt idx="462">
                  <c:v>1.9249999999999945</c:v>
                </c:pt>
                <c:pt idx="463">
                  <c:v>1.9291666666666611</c:v>
                </c:pt>
                <c:pt idx="464">
                  <c:v>1.9333333333333278</c:v>
                </c:pt>
                <c:pt idx="465">
                  <c:v>1.9374999999999944</c:v>
                </c:pt>
                <c:pt idx="466">
                  <c:v>1.9416666666666611</c:v>
                </c:pt>
                <c:pt idx="467">
                  <c:v>1.9458333333333278</c:v>
                </c:pt>
                <c:pt idx="468">
                  <c:v>1.9499999999999944</c:v>
                </c:pt>
                <c:pt idx="469">
                  <c:v>1.9541666666666611</c:v>
                </c:pt>
                <c:pt idx="470">
                  <c:v>1.9583333333333277</c:v>
                </c:pt>
                <c:pt idx="471">
                  <c:v>1.9624999999999944</c:v>
                </c:pt>
                <c:pt idx="472">
                  <c:v>1.966666666666661</c:v>
                </c:pt>
                <c:pt idx="473">
                  <c:v>1.9708333333333277</c:v>
                </c:pt>
                <c:pt idx="474">
                  <c:v>1.9749999999999943</c:v>
                </c:pt>
                <c:pt idx="475">
                  <c:v>1.979166666666661</c:v>
                </c:pt>
                <c:pt idx="476">
                  <c:v>1.9833333333333276</c:v>
                </c:pt>
                <c:pt idx="477">
                  <c:v>1.9874999999999943</c:v>
                </c:pt>
                <c:pt idx="478">
                  <c:v>1.9916666666666609</c:v>
                </c:pt>
                <c:pt idx="479">
                  <c:v>1.9958333333333276</c:v>
                </c:pt>
                <c:pt idx="480">
                  <c:v>1.9999999999999942</c:v>
                </c:pt>
                <c:pt idx="481">
                  <c:v>2.0041666666666611</c:v>
                </c:pt>
                <c:pt idx="482">
                  <c:v>2.008333333333328</c:v>
                </c:pt>
                <c:pt idx="483">
                  <c:v>2.0124999999999948</c:v>
                </c:pt>
                <c:pt idx="484">
                  <c:v>2.0166666666666617</c:v>
                </c:pt>
                <c:pt idx="485">
                  <c:v>2.0208333333333286</c:v>
                </c:pt>
                <c:pt idx="486">
                  <c:v>2.0249999999999955</c:v>
                </c:pt>
                <c:pt idx="487">
                  <c:v>2.0291666666666623</c:v>
                </c:pt>
                <c:pt idx="488">
                  <c:v>2.0333333333333292</c:v>
                </c:pt>
                <c:pt idx="489">
                  <c:v>2.0374999999999961</c:v>
                </c:pt>
                <c:pt idx="490">
                  <c:v>2.041666666666663</c:v>
                </c:pt>
                <c:pt idx="491">
                  <c:v>2.0458333333333298</c:v>
                </c:pt>
                <c:pt idx="492">
                  <c:v>2.0499999999999967</c:v>
                </c:pt>
                <c:pt idx="493">
                  <c:v>2.0541666666666636</c:v>
                </c:pt>
                <c:pt idx="494">
                  <c:v>2.0583333333333305</c:v>
                </c:pt>
                <c:pt idx="495">
                  <c:v>2.0624999999999973</c:v>
                </c:pt>
                <c:pt idx="496">
                  <c:v>2.0666666666666642</c:v>
                </c:pt>
                <c:pt idx="497">
                  <c:v>2.0708333333333311</c:v>
                </c:pt>
                <c:pt idx="498">
                  <c:v>2.074999999999998</c:v>
                </c:pt>
              </c:numCache>
            </c:numRef>
          </c:cat>
          <c:val>
            <c:numRef>
              <c:f>Sheet1!$R$12:$R$510</c:f>
              <c:numCache>
                <c:formatCode>General</c:formatCode>
                <c:ptCount val="499"/>
                <c:pt idx="0">
                  <c:v>100</c:v>
                </c:pt>
                <c:pt idx="1">
                  <c:v>101.03200703646451</c:v>
                </c:pt>
                <c:pt idx="2">
                  <c:v>102.62584711129897</c:v>
                </c:pt>
                <c:pt idx="3">
                  <c:v>103.10329649173187</c:v>
                </c:pt>
                <c:pt idx="4">
                  <c:v>104.35776554939406</c:v>
                </c:pt>
                <c:pt idx="5">
                  <c:v>103.33164461468826</c:v>
                </c:pt>
                <c:pt idx="6">
                  <c:v>103.9388981876306</c:v>
                </c:pt>
                <c:pt idx="7">
                  <c:v>105.03162926267638</c:v>
                </c:pt>
                <c:pt idx="8">
                  <c:v>103.60812390719239</c:v>
                </c:pt>
                <c:pt idx="9">
                  <c:v>104.98617321685418</c:v>
                </c:pt>
                <c:pt idx="10">
                  <c:v>101.71600359652207</c:v>
                </c:pt>
                <c:pt idx="11">
                  <c:v>100.13539704839502</c:v>
                </c:pt>
                <c:pt idx="12">
                  <c:v>100.14120025100155</c:v>
                </c:pt>
                <c:pt idx="13">
                  <c:v>100.49141946802197</c:v>
                </c:pt>
                <c:pt idx="14">
                  <c:v>100.71856963768826</c:v>
                </c:pt>
                <c:pt idx="15">
                  <c:v>101.26312213009967</c:v>
                </c:pt>
                <c:pt idx="16">
                  <c:v>101.48406934228886</c:v>
                </c:pt>
                <c:pt idx="17">
                  <c:v>100.53319748396795</c:v>
                </c:pt>
                <c:pt idx="18">
                  <c:v>99.79418710609842</c:v>
                </c:pt>
                <c:pt idx="19">
                  <c:v>99.971303276590092</c:v>
                </c:pt>
                <c:pt idx="20">
                  <c:v>98.865158164928943</c:v>
                </c:pt>
                <c:pt idx="21">
                  <c:v>100.0244383003399</c:v>
                </c:pt>
                <c:pt idx="22">
                  <c:v>99.761999730706876</c:v>
                </c:pt>
                <c:pt idx="23">
                  <c:v>99.921740915145833</c:v>
                </c:pt>
                <c:pt idx="24">
                  <c:v>99.12751978243395</c:v>
                </c:pt>
                <c:pt idx="25">
                  <c:v>98.076175883405796</c:v>
                </c:pt>
                <c:pt idx="26">
                  <c:v>96.570578691698913</c:v>
                </c:pt>
                <c:pt idx="27">
                  <c:v>95.56962580048932</c:v>
                </c:pt>
                <c:pt idx="28">
                  <c:v>94.498969367453967</c:v>
                </c:pt>
                <c:pt idx="29">
                  <c:v>94.251083854291167</c:v>
                </c:pt>
                <c:pt idx="30">
                  <c:v>95.009578798226116</c:v>
                </c:pt>
                <c:pt idx="31">
                  <c:v>93.477337357821838</c:v>
                </c:pt>
                <c:pt idx="32">
                  <c:v>93.458404322055387</c:v>
                </c:pt>
                <c:pt idx="33">
                  <c:v>92.757107827176696</c:v>
                </c:pt>
                <c:pt idx="34">
                  <c:v>92.988188438952506</c:v>
                </c:pt>
                <c:pt idx="35">
                  <c:v>93.544566092226248</c:v>
                </c:pt>
                <c:pt idx="36">
                  <c:v>93.082782880738975</c:v>
                </c:pt>
                <c:pt idx="37">
                  <c:v>93.318780606043433</c:v>
                </c:pt>
                <c:pt idx="38">
                  <c:v>94.285191284076319</c:v>
                </c:pt>
                <c:pt idx="39">
                  <c:v>93.097108089423813</c:v>
                </c:pt>
                <c:pt idx="40">
                  <c:v>93.842081447339382</c:v>
                </c:pt>
                <c:pt idx="41">
                  <c:v>92.888319479964835</c:v>
                </c:pt>
                <c:pt idx="42">
                  <c:v>92.49547861033551</c:v>
                </c:pt>
                <c:pt idx="43">
                  <c:v>90.597000275722422</c:v>
                </c:pt>
                <c:pt idx="44">
                  <c:v>91.884844506400654</c:v>
                </c:pt>
                <c:pt idx="45">
                  <c:v>91.030613593787493</c:v>
                </c:pt>
                <c:pt idx="46">
                  <c:v>90.721329295966427</c:v>
                </c:pt>
                <c:pt idx="47">
                  <c:v>92.203775793736028</c:v>
                </c:pt>
                <c:pt idx="48">
                  <c:v>92.21291273844605</c:v>
                </c:pt>
                <c:pt idx="49">
                  <c:v>94.094433150121546</c:v>
                </c:pt>
                <c:pt idx="50">
                  <c:v>92.61695153324672</c:v>
                </c:pt>
                <c:pt idx="51">
                  <c:v>93.024400074653542</c:v>
                </c:pt>
                <c:pt idx="52">
                  <c:v>91.972872284664078</c:v>
                </c:pt>
                <c:pt idx="53">
                  <c:v>92.841226248406485</c:v>
                </c:pt>
                <c:pt idx="54">
                  <c:v>90.915735635911204</c:v>
                </c:pt>
                <c:pt idx="55">
                  <c:v>92.903660091524401</c:v>
                </c:pt>
                <c:pt idx="56">
                  <c:v>93.739883800220085</c:v>
                </c:pt>
                <c:pt idx="57">
                  <c:v>94.049123479090127</c:v>
                </c:pt>
                <c:pt idx="58">
                  <c:v>95.303566334737525</c:v>
                </c:pt>
                <c:pt idx="59">
                  <c:v>96.144874130746302</c:v>
                </c:pt>
                <c:pt idx="60">
                  <c:v>95.318791398770045</c:v>
                </c:pt>
                <c:pt idx="61">
                  <c:v>94.816473917579984</c:v>
                </c:pt>
                <c:pt idx="62">
                  <c:v>96.283282167521179</c:v>
                </c:pt>
                <c:pt idx="63">
                  <c:v>96.835029865187664</c:v>
                </c:pt>
                <c:pt idx="64">
                  <c:v>97.092026330305572</c:v>
                </c:pt>
                <c:pt idx="65">
                  <c:v>96.547989738126887</c:v>
                </c:pt>
                <c:pt idx="66">
                  <c:v>96.396101177879629</c:v>
                </c:pt>
                <c:pt idx="67">
                  <c:v>96.766566087556185</c:v>
                </c:pt>
                <c:pt idx="68">
                  <c:v>94.888302333539585</c:v>
                </c:pt>
                <c:pt idx="69">
                  <c:v>95.9160391986089</c:v>
                </c:pt>
                <c:pt idx="70">
                  <c:v>96.0327302797008</c:v>
                </c:pt>
                <c:pt idx="71">
                  <c:v>97.234687182725963</c:v>
                </c:pt>
                <c:pt idx="72">
                  <c:v>96.639847429825863</c:v>
                </c:pt>
                <c:pt idx="73">
                  <c:v>98.678651477906129</c:v>
                </c:pt>
                <c:pt idx="74">
                  <c:v>99.650024093470591</c:v>
                </c:pt>
                <c:pt idx="75">
                  <c:v>98.23981209901558</c:v>
                </c:pt>
                <c:pt idx="76">
                  <c:v>99.840942421906917</c:v>
                </c:pt>
                <c:pt idx="77">
                  <c:v>99.943105006444725</c:v>
                </c:pt>
                <c:pt idx="78">
                  <c:v>99.328558400774895</c:v>
                </c:pt>
                <c:pt idx="79">
                  <c:v>100.03429286553374</c:v>
                </c:pt>
                <c:pt idx="80">
                  <c:v>99.135846063768497</c:v>
                </c:pt>
                <c:pt idx="81">
                  <c:v>99.815455518224809</c:v>
                </c:pt>
                <c:pt idx="82">
                  <c:v>99.645217137003925</c:v>
                </c:pt>
                <c:pt idx="83">
                  <c:v>99.180734352023663</c:v>
                </c:pt>
                <c:pt idx="84">
                  <c:v>100.77211136616648</c:v>
                </c:pt>
                <c:pt idx="85">
                  <c:v>100.77994756106777</c:v>
                </c:pt>
                <c:pt idx="86">
                  <c:v>99.593061410030217</c:v>
                </c:pt>
                <c:pt idx="87">
                  <c:v>100.29678336582458</c:v>
                </c:pt>
                <c:pt idx="88">
                  <c:v>100.73252459290032</c:v>
                </c:pt>
                <c:pt idx="89">
                  <c:v>99.929324203344095</c:v>
                </c:pt>
                <c:pt idx="90">
                  <c:v>98.922979123609963</c:v>
                </c:pt>
                <c:pt idx="91">
                  <c:v>100.07701496087485</c:v>
                </c:pt>
                <c:pt idx="92">
                  <c:v>97.373244035637398</c:v>
                </c:pt>
                <c:pt idx="93">
                  <c:v>96.164507224558093</c:v>
                </c:pt>
                <c:pt idx="94">
                  <c:v>95.224288860973857</c:v>
                </c:pt>
                <c:pt idx="95">
                  <c:v>95.991954667399838</c:v>
                </c:pt>
                <c:pt idx="96">
                  <c:v>95.409911404583298</c:v>
                </c:pt>
                <c:pt idx="97">
                  <c:v>95.2954257811123</c:v>
                </c:pt>
                <c:pt idx="98">
                  <c:v>95.929698735605271</c:v>
                </c:pt>
                <c:pt idx="99">
                  <c:v>97.193357921656556</c:v>
                </c:pt>
                <c:pt idx="100">
                  <c:v>94.724751492252395</c:v>
                </c:pt>
                <c:pt idx="101">
                  <c:v>94.296500477058842</c:v>
                </c:pt>
                <c:pt idx="102">
                  <c:v>90.314112395427642</c:v>
                </c:pt>
                <c:pt idx="103">
                  <c:v>89.866998876757464</c:v>
                </c:pt>
                <c:pt idx="104">
                  <c:v>91.094585482191889</c:v>
                </c:pt>
                <c:pt idx="105">
                  <c:v>91.638703033997388</c:v>
                </c:pt>
                <c:pt idx="106">
                  <c:v>92.656867065595449</c:v>
                </c:pt>
                <c:pt idx="107">
                  <c:v>95.781704136599458</c:v>
                </c:pt>
                <c:pt idx="108">
                  <c:v>94.900653006663916</c:v>
                </c:pt>
                <c:pt idx="109">
                  <c:v>96.050004368524966</c:v>
                </c:pt>
                <c:pt idx="110">
                  <c:v>98.174178403590389</c:v>
                </c:pt>
                <c:pt idx="111">
                  <c:v>98.026891373513237</c:v>
                </c:pt>
                <c:pt idx="112">
                  <c:v>98.586201975788015</c:v>
                </c:pt>
                <c:pt idx="113">
                  <c:v>99.275004217930544</c:v>
                </c:pt>
                <c:pt idx="114">
                  <c:v>100.03724054288124</c:v>
                </c:pt>
                <c:pt idx="115">
                  <c:v>98.664407113902442</c:v>
                </c:pt>
                <c:pt idx="116">
                  <c:v>98.080984307098163</c:v>
                </c:pt>
                <c:pt idx="117">
                  <c:v>98.061307555546975</c:v>
                </c:pt>
                <c:pt idx="118">
                  <c:v>97.595907185391482</c:v>
                </c:pt>
                <c:pt idx="119">
                  <c:v>99.097801713136533</c:v>
                </c:pt>
                <c:pt idx="120">
                  <c:v>99.701698170727255</c:v>
                </c:pt>
                <c:pt idx="121">
                  <c:v>97.341426693226438</c:v>
                </c:pt>
                <c:pt idx="122">
                  <c:v>96.77883948296531</c:v>
                </c:pt>
                <c:pt idx="123">
                  <c:v>99.397202232204194</c:v>
                </c:pt>
                <c:pt idx="124">
                  <c:v>99.072123262803117</c:v>
                </c:pt>
                <c:pt idx="125">
                  <c:v>96.978680427052225</c:v>
                </c:pt>
                <c:pt idx="126">
                  <c:v>96.742063661022044</c:v>
                </c:pt>
                <c:pt idx="127">
                  <c:v>98.237728085355045</c:v>
                </c:pt>
                <c:pt idx="128">
                  <c:v>100.1288959574409</c:v>
                </c:pt>
                <c:pt idx="129">
                  <c:v>102.24181553635475</c:v>
                </c:pt>
                <c:pt idx="130">
                  <c:v>101.11418813563991</c:v>
                </c:pt>
                <c:pt idx="131">
                  <c:v>100.10784837538391</c:v>
                </c:pt>
                <c:pt idx="132">
                  <c:v>101.80223827337107</c:v>
                </c:pt>
                <c:pt idx="133">
                  <c:v>103.37129721194404</c:v>
                </c:pt>
                <c:pt idx="134">
                  <c:v>103.4399468362398</c:v>
                </c:pt>
                <c:pt idx="135">
                  <c:v>103.96368783103</c:v>
                </c:pt>
                <c:pt idx="136">
                  <c:v>104.07517821974122</c:v>
                </c:pt>
                <c:pt idx="137">
                  <c:v>103.29797199660854</c:v>
                </c:pt>
                <c:pt idx="138">
                  <c:v>105.70438096253365</c:v>
                </c:pt>
                <c:pt idx="139">
                  <c:v>106.86422163478767</c:v>
                </c:pt>
                <c:pt idx="140">
                  <c:v>107.99291441219712</c:v>
                </c:pt>
                <c:pt idx="141">
                  <c:v>108.76237971941649</c:v>
                </c:pt>
                <c:pt idx="142">
                  <c:v>107.54251839820311</c:v>
                </c:pt>
                <c:pt idx="143">
                  <c:v>106.34311733084272</c:v>
                </c:pt>
                <c:pt idx="144">
                  <c:v>108.63474165456628</c:v>
                </c:pt>
                <c:pt idx="145">
                  <c:v>109.24918581176843</c:v>
                </c:pt>
                <c:pt idx="146">
                  <c:v>108.18404860572529</c:v>
                </c:pt>
                <c:pt idx="147">
                  <c:v>109.21489826724645</c:v>
                </c:pt>
                <c:pt idx="148">
                  <c:v>107.9349681662284</c:v>
                </c:pt>
                <c:pt idx="149">
                  <c:v>108.30207185745248</c:v>
                </c:pt>
                <c:pt idx="150">
                  <c:v>111.03996907885499</c:v>
                </c:pt>
                <c:pt idx="151">
                  <c:v>110.28707181944669</c:v>
                </c:pt>
                <c:pt idx="152">
                  <c:v>111.47950972308128</c:v>
                </c:pt>
                <c:pt idx="153">
                  <c:v>110.05041034661954</c:v>
                </c:pt>
                <c:pt idx="154">
                  <c:v>111.13011518886515</c:v>
                </c:pt>
                <c:pt idx="155">
                  <c:v>112.01633491427468</c:v>
                </c:pt>
                <c:pt idx="156">
                  <c:v>110.87483343761943</c:v>
                </c:pt>
                <c:pt idx="157">
                  <c:v>108.92049501067244</c:v>
                </c:pt>
                <c:pt idx="158">
                  <c:v>106.33081481870059</c:v>
                </c:pt>
                <c:pt idx="159">
                  <c:v>105.6263792280191</c:v>
                </c:pt>
                <c:pt idx="160">
                  <c:v>104.81426659036016</c:v>
                </c:pt>
                <c:pt idx="161">
                  <c:v>105.36372972135375</c:v>
                </c:pt>
                <c:pt idx="162">
                  <c:v>104.94257287637835</c:v>
                </c:pt>
                <c:pt idx="163">
                  <c:v>105.73234065719815</c:v>
                </c:pt>
                <c:pt idx="164">
                  <c:v>106.67980331499463</c:v>
                </c:pt>
                <c:pt idx="165">
                  <c:v>102.44410035338311</c:v>
                </c:pt>
                <c:pt idx="166">
                  <c:v>104.23597777378306</c:v>
                </c:pt>
                <c:pt idx="167">
                  <c:v>103.71767777017817</c:v>
                </c:pt>
                <c:pt idx="168">
                  <c:v>103.61264173739227</c:v>
                </c:pt>
                <c:pt idx="169">
                  <c:v>103.48719952645222</c:v>
                </c:pt>
                <c:pt idx="170">
                  <c:v>102.58791115966712</c:v>
                </c:pt>
                <c:pt idx="171">
                  <c:v>100.4485164367226</c:v>
                </c:pt>
                <c:pt idx="172">
                  <c:v>99.94853252428922</c:v>
                </c:pt>
                <c:pt idx="173">
                  <c:v>99.354673135895737</c:v>
                </c:pt>
                <c:pt idx="174">
                  <c:v>97.174296218891669</c:v>
                </c:pt>
                <c:pt idx="175">
                  <c:v>96.964274143503403</c:v>
                </c:pt>
                <c:pt idx="176">
                  <c:v>97.612641556214939</c:v>
                </c:pt>
                <c:pt idx="177">
                  <c:v>99.568218356667003</c:v>
                </c:pt>
                <c:pt idx="178">
                  <c:v>101.45277697284129</c:v>
                </c:pt>
                <c:pt idx="179">
                  <c:v>100.48391821841511</c:v>
                </c:pt>
                <c:pt idx="180">
                  <c:v>100.31769408876745</c:v>
                </c:pt>
                <c:pt idx="181">
                  <c:v>100.7335041058889</c:v>
                </c:pt>
                <c:pt idx="182">
                  <c:v>99.32942638655166</c:v>
                </c:pt>
                <c:pt idx="183">
                  <c:v>99.601856731658899</c:v>
                </c:pt>
                <c:pt idx="184">
                  <c:v>100.67446320282217</c:v>
                </c:pt>
                <c:pt idx="185">
                  <c:v>100.66934372881882</c:v>
                </c:pt>
                <c:pt idx="186">
                  <c:v>100.20908301486561</c:v>
                </c:pt>
                <c:pt idx="187">
                  <c:v>100.4948577355111</c:v>
                </c:pt>
                <c:pt idx="188">
                  <c:v>100.25435035787265</c:v>
                </c:pt>
                <c:pt idx="189">
                  <c:v>102.93169527714123</c:v>
                </c:pt>
                <c:pt idx="190">
                  <c:v>102.97228326698499</c:v>
                </c:pt>
                <c:pt idx="191">
                  <c:v>104.09433702952619</c:v>
                </c:pt>
                <c:pt idx="192">
                  <c:v>105.83463263813653</c:v>
                </c:pt>
                <c:pt idx="193">
                  <c:v>106.8088845484634</c:v>
                </c:pt>
                <c:pt idx="194">
                  <c:v>104.57938026003228</c:v>
                </c:pt>
                <c:pt idx="195">
                  <c:v>108.29096273228967</c:v>
                </c:pt>
                <c:pt idx="196">
                  <c:v>109.02298669132713</c:v>
                </c:pt>
                <c:pt idx="197">
                  <c:v>108.63680521200934</c:v>
                </c:pt>
                <c:pt idx="198">
                  <c:v>109.09733319743076</c:v>
                </c:pt>
                <c:pt idx="199">
                  <c:v>108.39919726478141</c:v>
                </c:pt>
                <c:pt idx="200">
                  <c:v>108.99656170812055</c:v>
                </c:pt>
                <c:pt idx="201">
                  <c:v>106.609851019773</c:v>
                </c:pt>
                <c:pt idx="202">
                  <c:v>105.6929373992719</c:v>
                </c:pt>
                <c:pt idx="203">
                  <c:v>103.78595821708291</c:v>
                </c:pt>
                <c:pt idx="204">
                  <c:v>105.13776652208016</c:v>
                </c:pt>
                <c:pt idx="205">
                  <c:v>105.71703442769035</c:v>
                </c:pt>
                <c:pt idx="206">
                  <c:v>106.59891459116183</c:v>
                </c:pt>
                <c:pt idx="207">
                  <c:v>106.85233167049446</c:v>
                </c:pt>
                <c:pt idx="208">
                  <c:v>107.08025315481767</c:v>
                </c:pt>
                <c:pt idx="209">
                  <c:v>108.35393774280887</c:v>
                </c:pt>
                <c:pt idx="210">
                  <c:v>107.91989240995768</c:v>
                </c:pt>
                <c:pt idx="211">
                  <c:v>107.2145939774786</c:v>
                </c:pt>
                <c:pt idx="212">
                  <c:v>110.32236921435117</c:v>
                </c:pt>
                <c:pt idx="213">
                  <c:v>110.86909742258435</c:v>
                </c:pt>
                <c:pt idx="214">
                  <c:v>110.51473139192676</c:v>
                </c:pt>
                <c:pt idx="215">
                  <c:v>109.69031580072613</c:v>
                </c:pt>
                <c:pt idx="216">
                  <c:v>109.70762642250955</c:v>
                </c:pt>
                <c:pt idx="217">
                  <c:v>109.31380936326266</c:v>
                </c:pt>
                <c:pt idx="218">
                  <c:v>109.50972054032208</c:v>
                </c:pt>
                <c:pt idx="219">
                  <c:v>110.15633839533994</c:v>
                </c:pt>
                <c:pt idx="220">
                  <c:v>110.76717213556027</c:v>
                </c:pt>
                <c:pt idx="221">
                  <c:v>110.70562694997859</c:v>
                </c:pt>
                <c:pt idx="222">
                  <c:v>110.24496664849451</c:v>
                </c:pt>
                <c:pt idx="223">
                  <c:v>112.14610291664017</c:v>
                </c:pt>
                <c:pt idx="224">
                  <c:v>110.55433426355313</c:v>
                </c:pt>
                <c:pt idx="225">
                  <c:v>108.22298029563562</c:v>
                </c:pt>
                <c:pt idx="226">
                  <c:v>105.9037020759193</c:v>
                </c:pt>
                <c:pt idx="227">
                  <c:v>105.91750920332402</c:v>
                </c:pt>
                <c:pt idx="228">
                  <c:v>106.74732550015457</c:v>
                </c:pt>
                <c:pt idx="229">
                  <c:v>107.70074708922229</c:v>
                </c:pt>
                <c:pt idx="230">
                  <c:v>105.7486481257118</c:v>
                </c:pt>
                <c:pt idx="231">
                  <c:v>105.16132598013128</c:v>
                </c:pt>
                <c:pt idx="232">
                  <c:v>107.3153256996939</c:v>
                </c:pt>
                <c:pt idx="233">
                  <c:v>107.93438588364597</c:v>
                </c:pt>
                <c:pt idx="234">
                  <c:v>105.89688229878409</c:v>
                </c:pt>
                <c:pt idx="235">
                  <c:v>105.25131250958741</c:v>
                </c:pt>
                <c:pt idx="236">
                  <c:v>103.52309259407504</c:v>
                </c:pt>
                <c:pt idx="237">
                  <c:v>104.43907647205498</c:v>
                </c:pt>
                <c:pt idx="238">
                  <c:v>105.28146719068171</c:v>
                </c:pt>
                <c:pt idx="239">
                  <c:v>103.25888452523965</c:v>
                </c:pt>
                <c:pt idx="240">
                  <c:v>103.87666616517745</c:v>
                </c:pt>
                <c:pt idx="241">
                  <c:v>103.20711208538654</c:v>
                </c:pt>
                <c:pt idx="242">
                  <c:v>101.52707316046792</c:v>
                </c:pt>
                <c:pt idx="243">
                  <c:v>100.77029385460337</c:v>
                </c:pt>
                <c:pt idx="244">
                  <c:v>103.30093219326163</c:v>
                </c:pt>
                <c:pt idx="245">
                  <c:v>102.43995118007918</c:v>
                </c:pt>
                <c:pt idx="246">
                  <c:v>102.12605565284387</c:v>
                </c:pt>
                <c:pt idx="247">
                  <c:v>101.67130137388747</c:v>
                </c:pt>
                <c:pt idx="248">
                  <c:v>99.815388924967522</c:v>
                </c:pt>
                <c:pt idx="249">
                  <c:v>101.19425126721011</c:v>
                </c:pt>
                <c:pt idx="250">
                  <c:v>102.31810041184752</c:v>
                </c:pt>
                <c:pt idx="251">
                  <c:v>104.08199165738169</c:v>
                </c:pt>
                <c:pt idx="252">
                  <c:v>105.41372487228217</c:v>
                </c:pt>
                <c:pt idx="253">
                  <c:v>105.7527964482267</c:v>
                </c:pt>
                <c:pt idx="254">
                  <c:v>106.77820525448908</c:v>
                </c:pt>
                <c:pt idx="255">
                  <c:v>105.11463261385461</c:v>
                </c:pt>
                <c:pt idx="256">
                  <c:v>102.57416164028</c:v>
                </c:pt>
                <c:pt idx="257">
                  <c:v>106.18773322624371</c:v>
                </c:pt>
                <c:pt idx="258">
                  <c:v>106.05774306078781</c:v>
                </c:pt>
                <c:pt idx="259">
                  <c:v>107.39772259727904</c:v>
                </c:pt>
                <c:pt idx="260">
                  <c:v>108.52986789320934</c:v>
                </c:pt>
                <c:pt idx="261">
                  <c:v>108.41949171657453</c:v>
                </c:pt>
                <c:pt idx="262">
                  <c:v>109.70029569659017</c:v>
                </c:pt>
                <c:pt idx="263">
                  <c:v>109.61795511890853</c:v>
                </c:pt>
                <c:pt idx="264">
                  <c:v>110.60506866633997</c:v>
                </c:pt>
                <c:pt idx="265">
                  <c:v>109.3787308072904</c:v>
                </c:pt>
                <c:pt idx="266">
                  <c:v>109.41492517064343</c:v>
                </c:pt>
                <c:pt idx="267">
                  <c:v>108.46607582142448</c:v>
                </c:pt>
                <c:pt idx="268">
                  <c:v>105.35776542928491</c:v>
                </c:pt>
                <c:pt idx="269">
                  <c:v>103.413758276506</c:v>
                </c:pt>
                <c:pt idx="270">
                  <c:v>103.53068478395262</c:v>
                </c:pt>
                <c:pt idx="271">
                  <c:v>101.16807472091547</c:v>
                </c:pt>
                <c:pt idx="272">
                  <c:v>101.95853503272191</c:v>
                </c:pt>
                <c:pt idx="273">
                  <c:v>103.5286316167238</c:v>
                </c:pt>
                <c:pt idx="274">
                  <c:v>105.44607724081087</c:v>
                </c:pt>
                <c:pt idx="275">
                  <c:v>105.57639462347794</c:v>
                </c:pt>
                <c:pt idx="276">
                  <c:v>106.27590360659326</c:v>
                </c:pt>
                <c:pt idx="277">
                  <c:v>106.42367426688826</c:v>
                </c:pt>
                <c:pt idx="278">
                  <c:v>105.18690196052378</c:v>
                </c:pt>
                <c:pt idx="279">
                  <c:v>105.73708409184043</c:v>
                </c:pt>
                <c:pt idx="280">
                  <c:v>105.36067022604738</c:v>
                </c:pt>
                <c:pt idx="281">
                  <c:v>106.90330796815026</c:v>
                </c:pt>
                <c:pt idx="282">
                  <c:v>106.75620959768987</c:v>
                </c:pt>
                <c:pt idx="283">
                  <c:v>104.15850038452881</c:v>
                </c:pt>
                <c:pt idx="284">
                  <c:v>106.70497817576323</c:v>
                </c:pt>
                <c:pt idx="285">
                  <c:v>106.78716142920987</c:v>
                </c:pt>
                <c:pt idx="286">
                  <c:v>107.10382168652326</c:v>
                </c:pt>
                <c:pt idx="287">
                  <c:v>107.622562511713</c:v>
                </c:pt>
                <c:pt idx="288">
                  <c:v>109.37457092818717</c:v>
                </c:pt>
                <c:pt idx="289">
                  <c:v>108.42564580628942</c:v>
                </c:pt>
                <c:pt idx="290">
                  <c:v>108.22050050931384</c:v>
                </c:pt>
                <c:pt idx="291">
                  <c:v>107.53134946734592</c:v>
                </c:pt>
                <c:pt idx="292">
                  <c:v>108.0778962950001</c:v>
                </c:pt>
                <c:pt idx="293">
                  <c:v>105.25038304443164</c:v>
                </c:pt>
                <c:pt idx="294">
                  <c:v>106.9394359520569</c:v>
                </c:pt>
                <c:pt idx="295">
                  <c:v>107.81858582373911</c:v>
                </c:pt>
                <c:pt idx="296">
                  <c:v>106.64844444486263</c:v>
                </c:pt>
                <c:pt idx="297">
                  <c:v>109.45746407952154</c:v>
                </c:pt>
                <c:pt idx="298">
                  <c:v>109.05413206303292</c:v>
                </c:pt>
                <c:pt idx="299">
                  <c:v>105.67856497667437</c:v>
                </c:pt>
                <c:pt idx="300">
                  <c:v>107.04839175084327</c:v>
                </c:pt>
                <c:pt idx="301">
                  <c:v>108.52271652025853</c:v>
                </c:pt>
                <c:pt idx="302">
                  <c:v>111.3677285320189</c:v>
                </c:pt>
                <c:pt idx="303">
                  <c:v>110.02618513764251</c:v>
                </c:pt>
                <c:pt idx="304">
                  <c:v>110.21519541286735</c:v>
                </c:pt>
                <c:pt idx="305">
                  <c:v>112.52284801169333</c:v>
                </c:pt>
                <c:pt idx="306">
                  <c:v>114.20637934279455</c:v>
                </c:pt>
                <c:pt idx="307">
                  <c:v>114.19622161087098</c:v>
                </c:pt>
                <c:pt idx="308">
                  <c:v>114.94399864058603</c:v>
                </c:pt>
                <c:pt idx="309">
                  <c:v>114.4734085525789</c:v>
                </c:pt>
                <c:pt idx="310">
                  <c:v>112.7184469204977</c:v>
                </c:pt>
                <c:pt idx="311">
                  <c:v>114.84803038299297</c:v>
                </c:pt>
                <c:pt idx="312">
                  <c:v>113.7810458656439</c:v>
                </c:pt>
                <c:pt idx="313">
                  <c:v>116.63449938974792</c:v>
                </c:pt>
                <c:pt idx="314">
                  <c:v>117.56170651549988</c:v>
                </c:pt>
                <c:pt idx="315">
                  <c:v>117.35821490590418</c:v>
                </c:pt>
                <c:pt idx="316">
                  <c:v>117.95277946163883</c:v>
                </c:pt>
                <c:pt idx="317">
                  <c:v>120.22885852432755</c:v>
                </c:pt>
                <c:pt idx="318">
                  <c:v>119.98495511210977</c:v>
                </c:pt>
                <c:pt idx="319">
                  <c:v>122.10499560164986</c:v>
                </c:pt>
                <c:pt idx="320">
                  <c:v>122.25003287309451</c:v>
                </c:pt>
                <c:pt idx="321">
                  <c:v>124.28726834613201</c:v>
                </c:pt>
                <c:pt idx="322">
                  <c:v>126.09936460576168</c:v>
                </c:pt>
                <c:pt idx="323">
                  <c:v>126.64950787789383</c:v>
                </c:pt>
                <c:pt idx="324">
                  <c:v>126.94954204446286</c:v>
                </c:pt>
                <c:pt idx="325">
                  <c:v>126.94496464805108</c:v>
                </c:pt>
                <c:pt idx="326">
                  <c:v>124.03991279301927</c:v>
                </c:pt>
                <c:pt idx="327">
                  <c:v>123.98722440897015</c:v>
                </c:pt>
                <c:pt idx="328">
                  <c:v>123.7158299875919</c:v>
                </c:pt>
                <c:pt idx="329">
                  <c:v>126.6362787123262</c:v>
                </c:pt>
                <c:pt idx="330">
                  <c:v>129.4687272252375</c:v>
                </c:pt>
                <c:pt idx="331">
                  <c:v>129.14422515174158</c:v>
                </c:pt>
                <c:pt idx="332">
                  <c:v>128.50548166492064</c:v>
                </c:pt>
                <c:pt idx="333">
                  <c:v>130.28857178699641</c:v>
                </c:pt>
                <c:pt idx="334">
                  <c:v>130.1699209796536</c:v>
                </c:pt>
                <c:pt idx="335">
                  <c:v>131.01145933920964</c:v>
                </c:pt>
                <c:pt idx="336">
                  <c:v>131.04298804759341</c:v>
                </c:pt>
                <c:pt idx="337">
                  <c:v>129.9413433028086</c:v>
                </c:pt>
                <c:pt idx="338">
                  <c:v>129.63232477918851</c:v>
                </c:pt>
                <c:pt idx="339">
                  <c:v>129.57151801692177</c:v>
                </c:pt>
                <c:pt idx="340">
                  <c:v>127.56771261030167</c:v>
                </c:pt>
                <c:pt idx="341">
                  <c:v>127.70612478305527</c:v>
                </c:pt>
                <c:pt idx="342">
                  <c:v>128.19133216500413</c:v>
                </c:pt>
                <c:pt idx="343">
                  <c:v>127.95959074333371</c:v>
                </c:pt>
                <c:pt idx="344">
                  <c:v>127.04080088195134</c:v>
                </c:pt>
                <c:pt idx="345">
                  <c:v>125.21464998688563</c:v>
                </c:pt>
                <c:pt idx="346">
                  <c:v>125.99229570360929</c:v>
                </c:pt>
                <c:pt idx="347">
                  <c:v>127.41598370907765</c:v>
                </c:pt>
                <c:pt idx="348">
                  <c:v>124.84310822490549</c:v>
                </c:pt>
                <c:pt idx="349">
                  <c:v>125.7235225678926</c:v>
                </c:pt>
                <c:pt idx="350">
                  <c:v>124.90862613116865</c:v>
                </c:pt>
                <c:pt idx="351">
                  <c:v>123.13186564918803</c:v>
                </c:pt>
                <c:pt idx="352">
                  <c:v>124.18605005773685</c:v>
                </c:pt>
                <c:pt idx="353">
                  <c:v>123.04517457794471</c:v>
                </c:pt>
                <c:pt idx="354">
                  <c:v>124.36690849944108</c:v>
                </c:pt>
                <c:pt idx="355">
                  <c:v>123.95463515700663</c:v>
                </c:pt>
                <c:pt idx="356">
                  <c:v>122.73845418369518</c:v>
                </c:pt>
                <c:pt idx="357">
                  <c:v>122.31084220145482</c:v>
                </c:pt>
                <c:pt idx="358">
                  <c:v>123.15036605976006</c:v>
                </c:pt>
                <c:pt idx="359">
                  <c:v>124.31248850449499</c:v>
                </c:pt>
                <c:pt idx="360">
                  <c:v>121.74887573997975</c:v>
                </c:pt>
                <c:pt idx="361">
                  <c:v>119.56259189241599</c:v>
                </c:pt>
                <c:pt idx="362">
                  <c:v>119.65056117675886</c:v>
                </c:pt>
                <c:pt idx="363">
                  <c:v>118.99253155563011</c:v>
                </c:pt>
                <c:pt idx="364">
                  <c:v>118.32316277872573</c:v>
                </c:pt>
                <c:pt idx="365">
                  <c:v>121.18732879733265</c:v>
                </c:pt>
                <c:pt idx="366">
                  <c:v>117.97407073927025</c:v>
                </c:pt>
                <c:pt idx="367">
                  <c:v>118.4677050899419</c:v>
                </c:pt>
                <c:pt idx="368">
                  <c:v>118.5525964139939</c:v>
                </c:pt>
                <c:pt idx="369">
                  <c:v>118.24308213627847</c:v>
                </c:pt>
                <c:pt idx="370">
                  <c:v>119.30131372086659</c:v>
                </c:pt>
                <c:pt idx="371">
                  <c:v>119.35522472696456</c:v>
                </c:pt>
                <c:pt idx="372">
                  <c:v>121.56605524301675</c:v>
                </c:pt>
                <c:pt idx="373">
                  <c:v>121.97029286004614</c:v>
                </c:pt>
                <c:pt idx="374">
                  <c:v>124.41550565579621</c:v>
                </c:pt>
                <c:pt idx="375">
                  <c:v>122.40064025368724</c:v>
                </c:pt>
                <c:pt idx="376">
                  <c:v>122.08049513853909</c:v>
                </c:pt>
                <c:pt idx="377">
                  <c:v>122.86229173720022</c:v>
                </c:pt>
                <c:pt idx="378">
                  <c:v>121.71445495565757</c:v>
                </c:pt>
                <c:pt idx="379">
                  <c:v>122.47701057893369</c:v>
                </c:pt>
                <c:pt idx="380">
                  <c:v>124.42127207208995</c:v>
                </c:pt>
                <c:pt idx="381">
                  <c:v>123.50660934659324</c:v>
                </c:pt>
                <c:pt idx="382">
                  <c:v>123.33577730362951</c:v>
                </c:pt>
                <c:pt idx="383">
                  <c:v>122.37922198186463</c:v>
                </c:pt>
                <c:pt idx="384">
                  <c:v>122.42746977229345</c:v>
                </c:pt>
                <c:pt idx="385">
                  <c:v>123.64813973282634</c:v>
                </c:pt>
                <c:pt idx="386">
                  <c:v>124.65049266859745</c:v>
                </c:pt>
                <c:pt idx="387">
                  <c:v>123.35747932956065</c:v>
                </c:pt>
                <c:pt idx="388">
                  <c:v>122.82201294633575</c:v>
                </c:pt>
                <c:pt idx="389">
                  <c:v>123.13431605431609</c:v>
                </c:pt>
                <c:pt idx="390">
                  <c:v>121.49763426741484</c:v>
                </c:pt>
                <c:pt idx="391">
                  <c:v>122.83398263242414</c:v>
                </c:pt>
                <c:pt idx="392">
                  <c:v>123.63590275256769</c:v>
                </c:pt>
                <c:pt idx="393">
                  <c:v>123.94257370606613</c:v>
                </c:pt>
                <c:pt idx="394">
                  <c:v>125.88541315964441</c:v>
                </c:pt>
                <c:pt idx="395">
                  <c:v>124.91665424388061</c:v>
                </c:pt>
                <c:pt idx="396">
                  <c:v>125.40735941015984</c:v>
                </c:pt>
                <c:pt idx="397">
                  <c:v>121.94723792801551</c:v>
                </c:pt>
                <c:pt idx="398">
                  <c:v>122.19310195261464</c:v>
                </c:pt>
                <c:pt idx="399">
                  <c:v>122.75359000167279</c:v>
                </c:pt>
                <c:pt idx="400">
                  <c:v>120.88121142133291</c:v>
                </c:pt>
                <c:pt idx="401">
                  <c:v>122.33072375893956</c:v>
                </c:pt>
                <c:pt idx="402">
                  <c:v>121.15603788669496</c:v>
                </c:pt>
                <c:pt idx="403">
                  <c:v>122.34780908382071</c:v>
                </c:pt>
                <c:pt idx="404">
                  <c:v>124.2545367199351</c:v>
                </c:pt>
                <c:pt idx="405">
                  <c:v>127.08036686011016</c:v>
                </c:pt>
                <c:pt idx="406">
                  <c:v>126.41681327857346</c:v>
                </c:pt>
                <c:pt idx="407">
                  <c:v>126.05479694027487</c:v>
                </c:pt>
                <c:pt idx="408">
                  <c:v>126.07902994960385</c:v>
                </c:pt>
                <c:pt idx="409">
                  <c:v>127.51302352609608</c:v>
                </c:pt>
                <c:pt idx="410">
                  <c:v>125.88605427863268</c:v>
                </c:pt>
                <c:pt idx="411">
                  <c:v>125.53525469837427</c:v>
                </c:pt>
                <c:pt idx="412">
                  <c:v>123.46125876066138</c:v>
                </c:pt>
                <c:pt idx="413">
                  <c:v>122.9310609585965</c:v>
                </c:pt>
                <c:pt idx="414">
                  <c:v>123.45289147644836</c:v>
                </c:pt>
                <c:pt idx="415">
                  <c:v>124.1771538454213</c:v>
                </c:pt>
                <c:pt idx="416">
                  <c:v>120.94609801586876</c:v>
                </c:pt>
                <c:pt idx="417">
                  <c:v>119.13948886089966</c:v>
                </c:pt>
                <c:pt idx="418">
                  <c:v>119.95468333987098</c:v>
                </c:pt>
                <c:pt idx="419">
                  <c:v>119.10502371145201</c:v>
                </c:pt>
                <c:pt idx="420">
                  <c:v>119.25617222336101</c:v>
                </c:pt>
                <c:pt idx="421">
                  <c:v>119.12120586296399</c:v>
                </c:pt>
                <c:pt idx="422">
                  <c:v>119.08983413638707</c:v>
                </c:pt>
                <c:pt idx="423">
                  <c:v>121.36541626566968</c:v>
                </c:pt>
                <c:pt idx="424">
                  <c:v>121.74536904962602</c:v>
                </c:pt>
                <c:pt idx="425">
                  <c:v>122.65298103379062</c:v>
                </c:pt>
                <c:pt idx="426">
                  <c:v>123.31674681931905</c:v>
                </c:pt>
                <c:pt idx="427">
                  <c:v>126.70423834502768</c:v>
                </c:pt>
                <c:pt idx="428">
                  <c:v>123.74333451699827</c:v>
                </c:pt>
                <c:pt idx="429">
                  <c:v>122.50148512954304</c:v>
                </c:pt>
                <c:pt idx="430">
                  <c:v>122.18535645136143</c:v>
                </c:pt>
                <c:pt idx="431">
                  <c:v>119.8584953542957</c:v>
                </c:pt>
                <c:pt idx="432">
                  <c:v>122.37383850795585</c:v>
                </c:pt>
                <c:pt idx="433">
                  <c:v>120.2021278473142</c:v>
                </c:pt>
                <c:pt idx="434">
                  <c:v>121.34069107697661</c:v>
                </c:pt>
                <c:pt idx="435">
                  <c:v>120.62146470360884</c:v>
                </c:pt>
                <c:pt idx="436">
                  <c:v>120.45630422075806</c:v>
                </c:pt>
                <c:pt idx="437">
                  <c:v>120.66219647951412</c:v>
                </c:pt>
                <c:pt idx="438">
                  <c:v>121.99248895811293</c:v>
                </c:pt>
                <c:pt idx="439">
                  <c:v>123.29956590581115</c:v>
                </c:pt>
                <c:pt idx="440">
                  <c:v>125.42185055807751</c:v>
                </c:pt>
                <c:pt idx="441">
                  <c:v>125.80156546110723</c:v>
                </c:pt>
                <c:pt idx="442">
                  <c:v>125.17248102677806</c:v>
                </c:pt>
                <c:pt idx="443">
                  <c:v>126.79581759172177</c:v>
                </c:pt>
                <c:pt idx="444">
                  <c:v>126.45778831584256</c:v>
                </c:pt>
                <c:pt idx="445">
                  <c:v>126.5551701937769</c:v>
                </c:pt>
                <c:pt idx="446">
                  <c:v>127.70267364972788</c:v>
                </c:pt>
                <c:pt idx="447">
                  <c:v>122.20048158995905</c:v>
                </c:pt>
                <c:pt idx="448">
                  <c:v>122.02056356351336</c:v>
                </c:pt>
                <c:pt idx="449">
                  <c:v>122.8319977969402</c:v>
                </c:pt>
                <c:pt idx="450">
                  <c:v>122.78258282128417</c:v>
                </c:pt>
                <c:pt idx="451">
                  <c:v>121.93686495385322</c:v>
                </c:pt>
                <c:pt idx="452">
                  <c:v>120.49693337828326</c:v>
                </c:pt>
                <c:pt idx="453">
                  <c:v>121.61448602067335</c:v>
                </c:pt>
                <c:pt idx="454">
                  <c:v>120.69430811295059</c:v>
                </c:pt>
                <c:pt idx="455">
                  <c:v>118.08020695568504</c:v>
                </c:pt>
                <c:pt idx="456">
                  <c:v>118.43593302400464</c:v>
                </c:pt>
                <c:pt idx="457">
                  <c:v>118.72902161535971</c:v>
                </c:pt>
                <c:pt idx="458">
                  <c:v>118.22808320598023</c:v>
                </c:pt>
                <c:pt idx="459">
                  <c:v>117.36404191834409</c:v>
                </c:pt>
                <c:pt idx="460">
                  <c:v>118.21726431289115</c:v>
                </c:pt>
                <c:pt idx="461">
                  <c:v>119.73765445870141</c:v>
                </c:pt>
                <c:pt idx="462">
                  <c:v>119.32688912034195</c:v>
                </c:pt>
                <c:pt idx="463">
                  <c:v>118.0628809243336</c:v>
                </c:pt>
                <c:pt idx="464">
                  <c:v>118.00598983557326</c:v>
                </c:pt>
                <c:pt idx="465">
                  <c:v>118.02165168733124</c:v>
                </c:pt>
                <c:pt idx="466">
                  <c:v>118.57062042267452</c:v>
                </c:pt>
                <c:pt idx="467">
                  <c:v>116.67385510819332</c:v>
                </c:pt>
                <c:pt idx="468">
                  <c:v>118.6287325456981</c:v>
                </c:pt>
                <c:pt idx="469">
                  <c:v>118.17879735357921</c:v>
                </c:pt>
                <c:pt idx="470">
                  <c:v>117.80593230568442</c:v>
                </c:pt>
                <c:pt idx="471">
                  <c:v>118.08563685399899</c:v>
                </c:pt>
                <c:pt idx="472">
                  <c:v>118.54678421896993</c:v>
                </c:pt>
                <c:pt idx="473">
                  <c:v>116.35173953190595</c:v>
                </c:pt>
                <c:pt idx="474">
                  <c:v>115.91515848569813</c:v>
                </c:pt>
                <c:pt idx="475">
                  <c:v>115.76733517607894</c:v>
                </c:pt>
                <c:pt idx="476">
                  <c:v>114.40085812591118</c:v>
                </c:pt>
                <c:pt idx="477">
                  <c:v>115.54344219994059</c:v>
                </c:pt>
                <c:pt idx="478">
                  <c:v>117.29714785260551</c:v>
                </c:pt>
                <c:pt idx="479">
                  <c:v>118.99630481157548</c:v>
                </c:pt>
                <c:pt idx="480">
                  <c:v>120.48559124385709</c:v>
                </c:pt>
                <c:pt idx="481">
                  <c:v>118.01263618400618</c:v>
                </c:pt>
                <c:pt idx="482">
                  <c:v>119.52852743545984</c:v>
                </c:pt>
                <c:pt idx="483">
                  <c:v>119.44337029690676</c:v>
                </c:pt>
                <c:pt idx="484">
                  <c:v>121.22647319545237</c:v>
                </c:pt>
                <c:pt idx="485">
                  <c:v>121.28713717572681</c:v>
                </c:pt>
                <c:pt idx="486">
                  <c:v>121.26707999778606</c:v>
                </c:pt>
                <c:pt idx="487">
                  <c:v>121.06287156491591</c:v>
                </c:pt>
                <c:pt idx="488">
                  <c:v>120.56900218910744</c:v>
                </c:pt>
                <c:pt idx="489">
                  <c:v>120.90768158788964</c:v>
                </c:pt>
                <c:pt idx="490">
                  <c:v>122.81697066895254</c:v>
                </c:pt>
                <c:pt idx="491">
                  <c:v>121.68933594724484</c:v>
                </c:pt>
                <c:pt idx="492">
                  <c:v>120.72595125221237</c:v>
                </c:pt>
                <c:pt idx="493">
                  <c:v>118.10856723836721</c:v>
                </c:pt>
                <c:pt idx="494">
                  <c:v>119.87855124315901</c:v>
                </c:pt>
                <c:pt idx="495">
                  <c:v>121.21224010483353</c:v>
                </c:pt>
                <c:pt idx="496">
                  <c:v>118.85689481588278</c:v>
                </c:pt>
                <c:pt idx="497">
                  <c:v>116.1347804233053</c:v>
                </c:pt>
                <c:pt idx="498">
                  <c:v>120.07930776437908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E1-4AA2-9822-C496715C76AD}"/>
            </c:ext>
          </c:extLst>
        </c:ser>
        <c:ser>
          <c:idx val="0"/>
          <c:order val="1"/>
          <c:tx>
            <c:v>Stock 2</c:v>
          </c:tx>
          <c:marker>
            <c:symbol val="none"/>
          </c:marker>
          <c:cat>
            <c:numRef>
              <c:f>Sheet1!$T$12:$T$510</c:f>
              <c:numCache>
                <c:formatCode>General</c:formatCode>
                <c:ptCount val="499"/>
                <c:pt idx="0">
                  <c:v>0</c:v>
                </c:pt>
                <c:pt idx="1">
                  <c:v>4.1666666666666666E-3</c:v>
                </c:pt>
                <c:pt idx="2">
                  <c:v>8.3333333333333332E-3</c:v>
                </c:pt>
                <c:pt idx="3">
                  <c:v>1.2500000000000001E-2</c:v>
                </c:pt>
                <c:pt idx="4">
                  <c:v>1.6666666666666666E-2</c:v>
                </c:pt>
                <c:pt idx="5">
                  <c:v>2.0833333333333332E-2</c:v>
                </c:pt>
                <c:pt idx="6">
                  <c:v>2.4999999999999998E-2</c:v>
                </c:pt>
                <c:pt idx="7">
                  <c:v>2.9166666666666664E-2</c:v>
                </c:pt>
                <c:pt idx="8">
                  <c:v>3.3333333333333333E-2</c:v>
                </c:pt>
                <c:pt idx="9">
                  <c:v>3.7499999999999999E-2</c:v>
                </c:pt>
                <c:pt idx="10">
                  <c:v>4.1666666666666664E-2</c:v>
                </c:pt>
                <c:pt idx="11">
                  <c:v>4.583333333333333E-2</c:v>
                </c:pt>
                <c:pt idx="12">
                  <c:v>4.9999999999999996E-2</c:v>
                </c:pt>
                <c:pt idx="13">
                  <c:v>5.4166666666666662E-2</c:v>
                </c:pt>
                <c:pt idx="14">
                  <c:v>5.8333333333333327E-2</c:v>
                </c:pt>
                <c:pt idx="15">
                  <c:v>6.2499999999999993E-2</c:v>
                </c:pt>
                <c:pt idx="16">
                  <c:v>6.6666666666666666E-2</c:v>
                </c:pt>
                <c:pt idx="17">
                  <c:v>7.0833333333333331E-2</c:v>
                </c:pt>
                <c:pt idx="18">
                  <c:v>7.4999999999999997E-2</c:v>
                </c:pt>
                <c:pt idx="19">
                  <c:v>7.9166666666666663E-2</c:v>
                </c:pt>
                <c:pt idx="20">
                  <c:v>8.3333333333333329E-2</c:v>
                </c:pt>
                <c:pt idx="21">
                  <c:v>8.7499999999999994E-2</c:v>
                </c:pt>
                <c:pt idx="22">
                  <c:v>9.166666666666666E-2</c:v>
                </c:pt>
                <c:pt idx="23">
                  <c:v>9.5833333333333326E-2</c:v>
                </c:pt>
                <c:pt idx="24">
                  <c:v>9.9999999999999992E-2</c:v>
                </c:pt>
                <c:pt idx="25">
                  <c:v>0.10416666666666666</c:v>
                </c:pt>
                <c:pt idx="26">
                  <c:v>0.10833333333333332</c:v>
                </c:pt>
                <c:pt idx="27">
                  <c:v>0.11249999999999999</c:v>
                </c:pt>
                <c:pt idx="28">
                  <c:v>0.11666666666666665</c:v>
                </c:pt>
                <c:pt idx="29">
                  <c:v>0.12083333333333332</c:v>
                </c:pt>
                <c:pt idx="30">
                  <c:v>0.12499999999999999</c:v>
                </c:pt>
                <c:pt idx="31">
                  <c:v>0.12916666666666665</c:v>
                </c:pt>
                <c:pt idx="32">
                  <c:v>0.13333333333333333</c:v>
                </c:pt>
                <c:pt idx="33">
                  <c:v>0.13750000000000001</c:v>
                </c:pt>
                <c:pt idx="34">
                  <c:v>0.14166666666666669</c:v>
                </c:pt>
                <c:pt idx="35">
                  <c:v>0.14583333333333337</c:v>
                </c:pt>
                <c:pt idx="36">
                  <c:v>0.15000000000000005</c:v>
                </c:pt>
                <c:pt idx="37">
                  <c:v>0.15416666666666673</c:v>
                </c:pt>
                <c:pt idx="38">
                  <c:v>0.15833333333333341</c:v>
                </c:pt>
                <c:pt idx="39">
                  <c:v>0.16250000000000009</c:v>
                </c:pt>
                <c:pt idx="40">
                  <c:v>0.16666666666666677</c:v>
                </c:pt>
                <c:pt idx="41">
                  <c:v>0.17083333333333345</c:v>
                </c:pt>
                <c:pt idx="42">
                  <c:v>0.17500000000000013</c:v>
                </c:pt>
                <c:pt idx="43">
                  <c:v>0.17916666666666681</c:v>
                </c:pt>
                <c:pt idx="44">
                  <c:v>0.18333333333333349</c:v>
                </c:pt>
                <c:pt idx="45">
                  <c:v>0.18750000000000017</c:v>
                </c:pt>
                <c:pt idx="46">
                  <c:v>0.19166666666666685</c:v>
                </c:pt>
                <c:pt idx="47">
                  <c:v>0.19583333333333353</c:v>
                </c:pt>
                <c:pt idx="48">
                  <c:v>0.20000000000000021</c:v>
                </c:pt>
                <c:pt idx="49">
                  <c:v>0.20416666666666689</c:v>
                </c:pt>
                <c:pt idx="50">
                  <c:v>0.20833333333333356</c:v>
                </c:pt>
                <c:pt idx="51">
                  <c:v>0.21250000000000024</c:v>
                </c:pt>
                <c:pt idx="52">
                  <c:v>0.21666666666666692</c:v>
                </c:pt>
                <c:pt idx="53">
                  <c:v>0.2208333333333336</c:v>
                </c:pt>
                <c:pt idx="54">
                  <c:v>0.22500000000000028</c:v>
                </c:pt>
                <c:pt idx="55">
                  <c:v>0.22916666666666696</c:v>
                </c:pt>
                <c:pt idx="56">
                  <c:v>0.23333333333333364</c:v>
                </c:pt>
                <c:pt idx="57">
                  <c:v>0.23750000000000032</c:v>
                </c:pt>
                <c:pt idx="58">
                  <c:v>0.241666666666667</c:v>
                </c:pt>
                <c:pt idx="59">
                  <c:v>0.24583333333333368</c:v>
                </c:pt>
                <c:pt idx="60">
                  <c:v>0.25000000000000033</c:v>
                </c:pt>
                <c:pt idx="61">
                  <c:v>0.25416666666666698</c:v>
                </c:pt>
                <c:pt idx="62">
                  <c:v>0.25833333333333364</c:v>
                </c:pt>
                <c:pt idx="63">
                  <c:v>0.26250000000000029</c:v>
                </c:pt>
                <c:pt idx="64">
                  <c:v>0.26666666666666694</c:v>
                </c:pt>
                <c:pt idx="65">
                  <c:v>0.27083333333333359</c:v>
                </c:pt>
                <c:pt idx="66">
                  <c:v>0.27500000000000024</c:v>
                </c:pt>
                <c:pt idx="67">
                  <c:v>0.2791666666666669</c:v>
                </c:pt>
                <c:pt idx="68">
                  <c:v>0.28333333333333355</c:v>
                </c:pt>
                <c:pt idx="69">
                  <c:v>0.2875000000000002</c:v>
                </c:pt>
                <c:pt idx="70">
                  <c:v>0.29166666666666685</c:v>
                </c:pt>
                <c:pt idx="71">
                  <c:v>0.2958333333333335</c:v>
                </c:pt>
                <c:pt idx="72">
                  <c:v>0.30000000000000016</c:v>
                </c:pt>
                <c:pt idx="73">
                  <c:v>0.30416666666666681</c:v>
                </c:pt>
                <c:pt idx="74">
                  <c:v>0.30833333333333346</c:v>
                </c:pt>
                <c:pt idx="75">
                  <c:v>0.31250000000000011</c:v>
                </c:pt>
                <c:pt idx="76">
                  <c:v>0.31666666666666676</c:v>
                </c:pt>
                <c:pt idx="77">
                  <c:v>0.32083333333333341</c:v>
                </c:pt>
                <c:pt idx="78">
                  <c:v>0.32500000000000007</c:v>
                </c:pt>
                <c:pt idx="79">
                  <c:v>0.32916666666666672</c:v>
                </c:pt>
                <c:pt idx="80">
                  <c:v>0.33333333333333337</c:v>
                </c:pt>
                <c:pt idx="81">
                  <c:v>0.33750000000000002</c:v>
                </c:pt>
                <c:pt idx="82">
                  <c:v>0.34166666666666667</c:v>
                </c:pt>
                <c:pt idx="83">
                  <c:v>0.34583333333333333</c:v>
                </c:pt>
                <c:pt idx="84">
                  <c:v>0.35</c:v>
                </c:pt>
                <c:pt idx="85">
                  <c:v>0.35416666666666663</c:v>
                </c:pt>
                <c:pt idx="86">
                  <c:v>0.35833333333333328</c:v>
                </c:pt>
                <c:pt idx="87">
                  <c:v>0.36249999999999993</c:v>
                </c:pt>
                <c:pt idx="88">
                  <c:v>0.36666666666666659</c:v>
                </c:pt>
                <c:pt idx="89">
                  <c:v>0.37083333333333324</c:v>
                </c:pt>
                <c:pt idx="90">
                  <c:v>0.37499999999999989</c:v>
                </c:pt>
                <c:pt idx="91">
                  <c:v>0.37916666666666654</c:v>
                </c:pt>
                <c:pt idx="92">
                  <c:v>0.38333333333333319</c:v>
                </c:pt>
                <c:pt idx="93">
                  <c:v>0.38749999999999984</c:v>
                </c:pt>
                <c:pt idx="94">
                  <c:v>0.3916666666666665</c:v>
                </c:pt>
                <c:pt idx="95">
                  <c:v>0.39583333333333315</c:v>
                </c:pt>
                <c:pt idx="96">
                  <c:v>0.3999999999999998</c:v>
                </c:pt>
                <c:pt idx="97">
                  <c:v>0.40416666666666645</c:v>
                </c:pt>
                <c:pt idx="98">
                  <c:v>0.4083333333333331</c:v>
                </c:pt>
                <c:pt idx="99">
                  <c:v>0.41249999999999976</c:v>
                </c:pt>
                <c:pt idx="100">
                  <c:v>0.41666666666666641</c:v>
                </c:pt>
                <c:pt idx="101">
                  <c:v>0.42083333333333306</c:v>
                </c:pt>
                <c:pt idx="102">
                  <c:v>0.42499999999999971</c:v>
                </c:pt>
                <c:pt idx="103">
                  <c:v>0.42916666666666636</c:v>
                </c:pt>
                <c:pt idx="104">
                  <c:v>0.43333333333333302</c:v>
                </c:pt>
                <c:pt idx="105">
                  <c:v>0.43749999999999967</c:v>
                </c:pt>
                <c:pt idx="106">
                  <c:v>0.44166666666666632</c:v>
                </c:pt>
                <c:pt idx="107">
                  <c:v>0.44583333333333297</c:v>
                </c:pt>
                <c:pt idx="108">
                  <c:v>0.44999999999999962</c:v>
                </c:pt>
                <c:pt idx="109">
                  <c:v>0.45416666666666627</c:v>
                </c:pt>
                <c:pt idx="110">
                  <c:v>0.45833333333333293</c:v>
                </c:pt>
                <c:pt idx="111">
                  <c:v>0.46249999999999958</c:v>
                </c:pt>
                <c:pt idx="112">
                  <c:v>0.46666666666666623</c:v>
                </c:pt>
                <c:pt idx="113">
                  <c:v>0.47083333333333288</c:v>
                </c:pt>
                <c:pt idx="114">
                  <c:v>0.47499999999999953</c:v>
                </c:pt>
                <c:pt idx="115">
                  <c:v>0.47916666666666619</c:v>
                </c:pt>
                <c:pt idx="116">
                  <c:v>0.48333333333333284</c:v>
                </c:pt>
                <c:pt idx="117">
                  <c:v>0.48749999999999949</c:v>
                </c:pt>
                <c:pt idx="118">
                  <c:v>0.49166666666666614</c:v>
                </c:pt>
                <c:pt idx="119">
                  <c:v>0.49583333333333279</c:v>
                </c:pt>
                <c:pt idx="120">
                  <c:v>0.49999999999999944</c:v>
                </c:pt>
                <c:pt idx="121">
                  <c:v>0.5041666666666661</c:v>
                </c:pt>
                <c:pt idx="122">
                  <c:v>0.50833333333333275</c:v>
                </c:pt>
                <c:pt idx="123">
                  <c:v>0.5124999999999994</c:v>
                </c:pt>
                <c:pt idx="124">
                  <c:v>0.51666666666666605</c:v>
                </c:pt>
                <c:pt idx="125">
                  <c:v>0.5208333333333327</c:v>
                </c:pt>
                <c:pt idx="126">
                  <c:v>0.52499999999999936</c:v>
                </c:pt>
                <c:pt idx="127">
                  <c:v>0.52916666666666601</c:v>
                </c:pt>
                <c:pt idx="128">
                  <c:v>0.53333333333333266</c:v>
                </c:pt>
                <c:pt idx="129">
                  <c:v>0.53749999999999931</c:v>
                </c:pt>
                <c:pt idx="130">
                  <c:v>0.54166666666666596</c:v>
                </c:pt>
                <c:pt idx="131">
                  <c:v>0.54583333333333262</c:v>
                </c:pt>
                <c:pt idx="132">
                  <c:v>0.54999999999999927</c:v>
                </c:pt>
                <c:pt idx="133">
                  <c:v>0.55416666666666592</c:v>
                </c:pt>
                <c:pt idx="134">
                  <c:v>0.55833333333333257</c:v>
                </c:pt>
                <c:pt idx="135">
                  <c:v>0.56249999999999922</c:v>
                </c:pt>
                <c:pt idx="136">
                  <c:v>0.56666666666666587</c:v>
                </c:pt>
                <c:pt idx="137">
                  <c:v>0.57083333333333253</c:v>
                </c:pt>
                <c:pt idx="138">
                  <c:v>0.57499999999999918</c:v>
                </c:pt>
                <c:pt idx="139">
                  <c:v>0.57916666666666583</c:v>
                </c:pt>
                <c:pt idx="140">
                  <c:v>0.58333333333333248</c:v>
                </c:pt>
                <c:pt idx="141">
                  <c:v>0.58749999999999913</c:v>
                </c:pt>
                <c:pt idx="142">
                  <c:v>0.59166666666666579</c:v>
                </c:pt>
                <c:pt idx="143">
                  <c:v>0.59583333333333244</c:v>
                </c:pt>
                <c:pt idx="144">
                  <c:v>0.59999999999999909</c:v>
                </c:pt>
                <c:pt idx="145">
                  <c:v>0.60416666666666574</c:v>
                </c:pt>
                <c:pt idx="146">
                  <c:v>0.60833333333333239</c:v>
                </c:pt>
                <c:pt idx="147">
                  <c:v>0.61249999999999905</c:v>
                </c:pt>
                <c:pt idx="148">
                  <c:v>0.6166666666666657</c:v>
                </c:pt>
                <c:pt idx="149">
                  <c:v>0.62083333333333235</c:v>
                </c:pt>
                <c:pt idx="150">
                  <c:v>0.624999999999999</c:v>
                </c:pt>
                <c:pt idx="151">
                  <c:v>0.62916666666666565</c:v>
                </c:pt>
                <c:pt idx="152">
                  <c:v>0.6333333333333323</c:v>
                </c:pt>
                <c:pt idx="153">
                  <c:v>0.63749999999999896</c:v>
                </c:pt>
                <c:pt idx="154">
                  <c:v>0.64166666666666561</c:v>
                </c:pt>
                <c:pt idx="155">
                  <c:v>0.64583333333333226</c:v>
                </c:pt>
                <c:pt idx="156">
                  <c:v>0.64999999999999891</c:v>
                </c:pt>
                <c:pt idx="157">
                  <c:v>0.65416666666666556</c:v>
                </c:pt>
                <c:pt idx="158">
                  <c:v>0.65833333333333222</c:v>
                </c:pt>
                <c:pt idx="159">
                  <c:v>0.66249999999999887</c:v>
                </c:pt>
                <c:pt idx="160">
                  <c:v>0.66666666666666552</c:v>
                </c:pt>
                <c:pt idx="161">
                  <c:v>0.67083333333333217</c:v>
                </c:pt>
                <c:pt idx="162">
                  <c:v>0.67499999999999882</c:v>
                </c:pt>
                <c:pt idx="163">
                  <c:v>0.67916666666666548</c:v>
                </c:pt>
                <c:pt idx="164">
                  <c:v>0.68333333333333213</c:v>
                </c:pt>
                <c:pt idx="165">
                  <c:v>0.68749999999999878</c:v>
                </c:pt>
                <c:pt idx="166">
                  <c:v>0.69166666666666543</c:v>
                </c:pt>
                <c:pt idx="167">
                  <c:v>0.69583333333333208</c:v>
                </c:pt>
                <c:pt idx="168">
                  <c:v>0.69999999999999873</c:v>
                </c:pt>
                <c:pt idx="169">
                  <c:v>0.70416666666666539</c:v>
                </c:pt>
                <c:pt idx="170">
                  <c:v>0.70833333333333204</c:v>
                </c:pt>
                <c:pt idx="171">
                  <c:v>0.71249999999999869</c:v>
                </c:pt>
                <c:pt idx="172">
                  <c:v>0.71666666666666534</c:v>
                </c:pt>
                <c:pt idx="173">
                  <c:v>0.72083333333333199</c:v>
                </c:pt>
                <c:pt idx="174">
                  <c:v>0.72499999999999865</c:v>
                </c:pt>
                <c:pt idx="175">
                  <c:v>0.7291666666666653</c:v>
                </c:pt>
                <c:pt idx="176">
                  <c:v>0.73333333333333195</c:v>
                </c:pt>
                <c:pt idx="177">
                  <c:v>0.7374999999999986</c:v>
                </c:pt>
                <c:pt idx="178">
                  <c:v>0.74166666666666525</c:v>
                </c:pt>
                <c:pt idx="179">
                  <c:v>0.7458333333333319</c:v>
                </c:pt>
                <c:pt idx="180">
                  <c:v>0.74999999999999856</c:v>
                </c:pt>
                <c:pt idx="181">
                  <c:v>0.75416666666666521</c:v>
                </c:pt>
                <c:pt idx="182">
                  <c:v>0.75833333333333186</c:v>
                </c:pt>
                <c:pt idx="183">
                  <c:v>0.76249999999999851</c:v>
                </c:pt>
                <c:pt idx="184">
                  <c:v>0.76666666666666516</c:v>
                </c:pt>
                <c:pt idx="185">
                  <c:v>0.77083333333333182</c:v>
                </c:pt>
                <c:pt idx="186">
                  <c:v>0.77499999999999847</c:v>
                </c:pt>
                <c:pt idx="187">
                  <c:v>0.77916666666666512</c:v>
                </c:pt>
                <c:pt idx="188">
                  <c:v>0.78333333333333177</c:v>
                </c:pt>
                <c:pt idx="189">
                  <c:v>0.78749999999999842</c:v>
                </c:pt>
                <c:pt idx="190">
                  <c:v>0.79166666666666508</c:v>
                </c:pt>
                <c:pt idx="191">
                  <c:v>0.79583333333333173</c:v>
                </c:pt>
                <c:pt idx="192">
                  <c:v>0.79999999999999838</c:v>
                </c:pt>
                <c:pt idx="193">
                  <c:v>0.80416666666666503</c:v>
                </c:pt>
                <c:pt idx="194">
                  <c:v>0.80833333333333168</c:v>
                </c:pt>
                <c:pt idx="195">
                  <c:v>0.81249999999999833</c:v>
                </c:pt>
                <c:pt idx="196">
                  <c:v>0.81666666666666499</c:v>
                </c:pt>
                <c:pt idx="197">
                  <c:v>0.82083333333333164</c:v>
                </c:pt>
                <c:pt idx="198">
                  <c:v>0.82499999999999829</c:v>
                </c:pt>
                <c:pt idx="199">
                  <c:v>0.82916666666666494</c:v>
                </c:pt>
                <c:pt idx="200">
                  <c:v>0.83333333333333159</c:v>
                </c:pt>
                <c:pt idx="201">
                  <c:v>0.83749999999999825</c:v>
                </c:pt>
                <c:pt idx="202">
                  <c:v>0.8416666666666649</c:v>
                </c:pt>
                <c:pt idx="203">
                  <c:v>0.84583333333333155</c:v>
                </c:pt>
                <c:pt idx="204">
                  <c:v>0.8499999999999982</c:v>
                </c:pt>
                <c:pt idx="205">
                  <c:v>0.85416666666666485</c:v>
                </c:pt>
                <c:pt idx="206">
                  <c:v>0.85833333333333151</c:v>
                </c:pt>
                <c:pt idx="207">
                  <c:v>0.86249999999999816</c:v>
                </c:pt>
                <c:pt idx="208">
                  <c:v>0.86666666666666481</c:v>
                </c:pt>
                <c:pt idx="209">
                  <c:v>0.87083333333333146</c:v>
                </c:pt>
                <c:pt idx="210">
                  <c:v>0.87499999999999811</c:v>
                </c:pt>
                <c:pt idx="211">
                  <c:v>0.87916666666666476</c:v>
                </c:pt>
                <c:pt idx="212">
                  <c:v>0.88333333333333142</c:v>
                </c:pt>
                <c:pt idx="213">
                  <c:v>0.88749999999999807</c:v>
                </c:pt>
                <c:pt idx="214">
                  <c:v>0.89166666666666472</c:v>
                </c:pt>
                <c:pt idx="215">
                  <c:v>0.89583333333333137</c:v>
                </c:pt>
                <c:pt idx="216">
                  <c:v>0.89999999999999802</c:v>
                </c:pt>
                <c:pt idx="217">
                  <c:v>0.90416666666666468</c:v>
                </c:pt>
                <c:pt idx="218">
                  <c:v>0.90833333333333133</c:v>
                </c:pt>
                <c:pt idx="219">
                  <c:v>0.91249999999999798</c:v>
                </c:pt>
                <c:pt idx="220">
                  <c:v>0.91666666666666463</c:v>
                </c:pt>
                <c:pt idx="221">
                  <c:v>0.92083333333333128</c:v>
                </c:pt>
                <c:pt idx="222">
                  <c:v>0.92499999999999793</c:v>
                </c:pt>
                <c:pt idx="223">
                  <c:v>0.92916666666666459</c:v>
                </c:pt>
                <c:pt idx="224">
                  <c:v>0.93333333333333124</c:v>
                </c:pt>
                <c:pt idx="225">
                  <c:v>0.93749999999999789</c:v>
                </c:pt>
                <c:pt idx="226">
                  <c:v>0.94166666666666454</c:v>
                </c:pt>
                <c:pt idx="227">
                  <c:v>0.94583333333333119</c:v>
                </c:pt>
                <c:pt idx="228">
                  <c:v>0.94999999999999785</c:v>
                </c:pt>
                <c:pt idx="229">
                  <c:v>0.9541666666666645</c:v>
                </c:pt>
                <c:pt idx="230">
                  <c:v>0.95833333333333115</c:v>
                </c:pt>
                <c:pt idx="231">
                  <c:v>0.9624999999999978</c:v>
                </c:pt>
                <c:pt idx="232">
                  <c:v>0.96666666666666445</c:v>
                </c:pt>
                <c:pt idx="233">
                  <c:v>0.97083333333333111</c:v>
                </c:pt>
                <c:pt idx="234">
                  <c:v>0.97499999999999776</c:v>
                </c:pt>
                <c:pt idx="235">
                  <c:v>0.97916666666666441</c:v>
                </c:pt>
                <c:pt idx="236">
                  <c:v>0.98333333333333106</c:v>
                </c:pt>
                <c:pt idx="237">
                  <c:v>0.98749999999999771</c:v>
                </c:pt>
                <c:pt idx="238">
                  <c:v>0.99166666666666436</c:v>
                </c:pt>
                <c:pt idx="239">
                  <c:v>0.99583333333333102</c:v>
                </c:pt>
                <c:pt idx="240">
                  <c:v>0.99999999999999767</c:v>
                </c:pt>
                <c:pt idx="241">
                  <c:v>1.0041666666666644</c:v>
                </c:pt>
                <c:pt idx="242">
                  <c:v>1.0083333333333311</c:v>
                </c:pt>
                <c:pt idx="243">
                  <c:v>1.0124999999999977</c:v>
                </c:pt>
                <c:pt idx="244">
                  <c:v>1.0166666666666644</c:v>
                </c:pt>
                <c:pt idx="245">
                  <c:v>1.020833333333331</c:v>
                </c:pt>
                <c:pt idx="246">
                  <c:v>1.0249999999999977</c:v>
                </c:pt>
                <c:pt idx="247">
                  <c:v>1.0291666666666643</c:v>
                </c:pt>
                <c:pt idx="248">
                  <c:v>1.033333333333331</c:v>
                </c:pt>
                <c:pt idx="249">
                  <c:v>1.0374999999999976</c:v>
                </c:pt>
                <c:pt idx="250">
                  <c:v>1.0416666666666643</c:v>
                </c:pt>
                <c:pt idx="251">
                  <c:v>1.045833333333331</c:v>
                </c:pt>
                <c:pt idx="252">
                  <c:v>1.0499999999999976</c:v>
                </c:pt>
                <c:pt idx="253">
                  <c:v>1.0541666666666643</c:v>
                </c:pt>
                <c:pt idx="254">
                  <c:v>1.0583333333333309</c:v>
                </c:pt>
                <c:pt idx="255">
                  <c:v>1.0624999999999976</c:v>
                </c:pt>
                <c:pt idx="256">
                  <c:v>1.0666666666666642</c:v>
                </c:pt>
                <c:pt idx="257">
                  <c:v>1.0708333333333309</c:v>
                </c:pt>
                <c:pt idx="258">
                  <c:v>1.0749999999999975</c:v>
                </c:pt>
                <c:pt idx="259">
                  <c:v>1.0791666666666642</c:v>
                </c:pt>
                <c:pt idx="260">
                  <c:v>1.0833333333333308</c:v>
                </c:pt>
                <c:pt idx="261">
                  <c:v>1.0874999999999975</c:v>
                </c:pt>
                <c:pt idx="262">
                  <c:v>1.0916666666666641</c:v>
                </c:pt>
                <c:pt idx="263">
                  <c:v>1.0958333333333308</c:v>
                </c:pt>
                <c:pt idx="264">
                  <c:v>1.0999999999999974</c:v>
                </c:pt>
                <c:pt idx="265">
                  <c:v>1.1041666666666641</c:v>
                </c:pt>
                <c:pt idx="266">
                  <c:v>1.1083333333333307</c:v>
                </c:pt>
                <c:pt idx="267">
                  <c:v>1.1124999999999974</c:v>
                </c:pt>
                <c:pt idx="268">
                  <c:v>1.116666666666664</c:v>
                </c:pt>
                <c:pt idx="269">
                  <c:v>1.1208333333333307</c:v>
                </c:pt>
                <c:pt idx="270">
                  <c:v>1.1249999999999973</c:v>
                </c:pt>
                <c:pt idx="271">
                  <c:v>1.129166666666664</c:v>
                </c:pt>
                <c:pt idx="272">
                  <c:v>1.1333333333333306</c:v>
                </c:pt>
                <c:pt idx="273">
                  <c:v>1.1374999999999973</c:v>
                </c:pt>
                <c:pt idx="274">
                  <c:v>1.1416666666666639</c:v>
                </c:pt>
                <c:pt idx="275">
                  <c:v>1.1458333333333306</c:v>
                </c:pt>
                <c:pt idx="276">
                  <c:v>1.1499999999999972</c:v>
                </c:pt>
                <c:pt idx="277">
                  <c:v>1.1541666666666639</c:v>
                </c:pt>
                <c:pt idx="278">
                  <c:v>1.1583333333333306</c:v>
                </c:pt>
                <c:pt idx="279">
                  <c:v>1.1624999999999972</c:v>
                </c:pt>
                <c:pt idx="280">
                  <c:v>1.1666666666666639</c:v>
                </c:pt>
                <c:pt idx="281">
                  <c:v>1.1708333333333305</c:v>
                </c:pt>
                <c:pt idx="282">
                  <c:v>1.1749999999999972</c:v>
                </c:pt>
                <c:pt idx="283">
                  <c:v>1.1791666666666638</c:v>
                </c:pt>
                <c:pt idx="284">
                  <c:v>1.1833333333333305</c:v>
                </c:pt>
                <c:pt idx="285">
                  <c:v>1.1874999999999971</c:v>
                </c:pt>
                <c:pt idx="286">
                  <c:v>1.1916666666666638</c:v>
                </c:pt>
                <c:pt idx="287">
                  <c:v>1.1958333333333304</c:v>
                </c:pt>
                <c:pt idx="288">
                  <c:v>1.1999999999999971</c:v>
                </c:pt>
                <c:pt idx="289">
                  <c:v>1.2041666666666637</c:v>
                </c:pt>
                <c:pt idx="290">
                  <c:v>1.2083333333333304</c:v>
                </c:pt>
                <c:pt idx="291">
                  <c:v>1.212499999999997</c:v>
                </c:pt>
                <c:pt idx="292">
                  <c:v>1.2166666666666637</c:v>
                </c:pt>
                <c:pt idx="293">
                  <c:v>1.2208333333333303</c:v>
                </c:pt>
                <c:pt idx="294">
                  <c:v>1.224999999999997</c:v>
                </c:pt>
                <c:pt idx="295">
                  <c:v>1.2291666666666636</c:v>
                </c:pt>
                <c:pt idx="296">
                  <c:v>1.2333333333333303</c:v>
                </c:pt>
                <c:pt idx="297">
                  <c:v>1.2374999999999969</c:v>
                </c:pt>
                <c:pt idx="298">
                  <c:v>1.2416666666666636</c:v>
                </c:pt>
                <c:pt idx="299">
                  <c:v>1.2458333333333302</c:v>
                </c:pt>
                <c:pt idx="300">
                  <c:v>1.2499999999999969</c:v>
                </c:pt>
                <c:pt idx="301">
                  <c:v>1.2541666666666635</c:v>
                </c:pt>
                <c:pt idx="302">
                  <c:v>1.2583333333333302</c:v>
                </c:pt>
                <c:pt idx="303">
                  <c:v>1.2624999999999968</c:v>
                </c:pt>
                <c:pt idx="304">
                  <c:v>1.2666666666666635</c:v>
                </c:pt>
                <c:pt idx="305">
                  <c:v>1.2708333333333302</c:v>
                </c:pt>
                <c:pt idx="306">
                  <c:v>1.2749999999999968</c:v>
                </c:pt>
                <c:pt idx="307">
                  <c:v>1.2791666666666635</c:v>
                </c:pt>
                <c:pt idx="308">
                  <c:v>1.2833333333333301</c:v>
                </c:pt>
                <c:pt idx="309">
                  <c:v>1.2874999999999968</c:v>
                </c:pt>
                <c:pt idx="310">
                  <c:v>1.2916666666666634</c:v>
                </c:pt>
                <c:pt idx="311">
                  <c:v>1.2958333333333301</c:v>
                </c:pt>
                <c:pt idx="312">
                  <c:v>1.2999999999999967</c:v>
                </c:pt>
                <c:pt idx="313">
                  <c:v>1.3041666666666634</c:v>
                </c:pt>
                <c:pt idx="314">
                  <c:v>1.30833333333333</c:v>
                </c:pt>
                <c:pt idx="315">
                  <c:v>1.3124999999999967</c:v>
                </c:pt>
                <c:pt idx="316">
                  <c:v>1.3166666666666633</c:v>
                </c:pt>
                <c:pt idx="317">
                  <c:v>1.32083333333333</c:v>
                </c:pt>
                <c:pt idx="318">
                  <c:v>1.3249999999999966</c:v>
                </c:pt>
                <c:pt idx="319">
                  <c:v>1.3291666666666633</c:v>
                </c:pt>
                <c:pt idx="320">
                  <c:v>1.3333333333333299</c:v>
                </c:pt>
                <c:pt idx="321">
                  <c:v>1.3374999999999966</c:v>
                </c:pt>
                <c:pt idx="322">
                  <c:v>1.3416666666666632</c:v>
                </c:pt>
                <c:pt idx="323">
                  <c:v>1.3458333333333299</c:v>
                </c:pt>
                <c:pt idx="324">
                  <c:v>1.3499999999999965</c:v>
                </c:pt>
                <c:pt idx="325">
                  <c:v>1.3541666666666632</c:v>
                </c:pt>
                <c:pt idx="326">
                  <c:v>1.3583333333333298</c:v>
                </c:pt>
                <c:pt idx="327">
                  <c:v>1.3624999999999965</c:v>
                </c:pt>
                <c:pt idx="328">
                  <c:v>1.3666666666666631</c:v>
                </c:pt>
                <c:pt idx="329">
                  <c:v>1.3708333333333298</c:v>
                </c:pt>
                <c:pt idx="330">
                  <c:v>1.3749999999999964</c:v>
                </c:pt>
                <c:pt idx="331">
                  <c:v>1.3791666666666631</c:v>
                </c:pt>
                <c:pt idx="332">
                  <c:v>1.3833333333333298</c:v>
                </c:pt>
                <c:pt idx="333">
                  <c:v>1.3874999999999964</c:v>
                </c:pt>
                <c:pt idx="334">
                  <c:v>1.3916666666666631</c:v>
                </c:pt>
                <c:pt idx="335">
                  <c:v>1.3958333333333297</c:v>
                </c:pt>
                <c:pt idx="336">
                  <c:v>1.3999999999999964</c:v>
                </c:pt>
                <c:pt idx="337">
                  <c:v>1.404166666666663</c:v>
                </c:pt>
                <c:pt idx="338">
                  <c:v>1.4083333333333297</c:v>
                </c:pt>
                <c:pt idx="339">
                  <c:v>1.4124999999999963</c:v>
                </c:pt>
                <c:pt idx="340">
                  <c:v>1.416666666666663</c:v>
                </c:pt>
                <c:pt idx="341">
                  <c:v>1.4208333333333296</c:v>
                </c:pt>
                <c:pt idx="342">
                  <c:v>1.4249999999999963</c:v>
                </c:pt>
                <c:pt idx="343">
                  <c:v>1.4291666666666629</c:v>
                </c:pt>
                <c:pt idx="344">
                  <c:v>1.4333333333333296</c:v>
                </c:pt>
                <c:pt idx="345">
                  <c:v>1.4374999999999962</c:v>
                </c:pt>
                <c:pt idx="346">
                  <c:v>1.4416666666666629</c:v>
                </c:pt>
                <c:pt idx="347">
                  <c:v>1.4458333333333295</c:v>
                </c:pt>
                <c:pt idx="348">
                  <c:v>1.4499999999999962</c:v>
                </c:pt>
                <c:pt idx="349">
                  <c:v>1.4541666666666628</c:v>
                </c:pt>
                <c:pt idx="350">
                  <c:v>1.4583333333333295</c:v>
                </c:pt>
                <c:pt idx="351">
                  <c:v>1.4624999999999961</c:v>
                </c:pt>
                <c:pt idx="352">
                  <c:v>1.4666666666666628</c:v>
                </c:pt>
                <c:pt idx="353">
                  <c:v>1.4708333333333294</c:v>
                </c:pt>
                <c:pt idx="354">
                  <c:v>1.4749999999999961</c:v>
                </c:pt>
                <c:pt idx="355">
                  <c:v>1.4791666666666627</c:v>
                </c:pt>
                <c:pt idx="356">
                  <c:v>1.4833333333333294</c:v>
                </c:pt>
                <c:pt idx="357">
                  <c:v>1.487499999999996</c:v>
                </c:pt>
                <c:pt idx="358">
                  <c:v>1.4916666666666627</c:v>
                </c:pt>
                <c:pt idx="359">
                  <c:v>1.4958333333333294</c:v>
                </c:pt>
                <c:pt idx="360">
                  <c:v>1.499999999999996</c:v>
                </c:pt>
                <c:pt idx="361">
                  <c:v>1.5041666666666627</c:v>
                </c:pt>
                <c:pt idx="362">
                  <c:v>1.5083333333333293</c:v>
                </c:pt>
                <c:pt idx="363">
                  <c:v>1.512499999999996</c:v>
                </c:pt>
                <c:pt idx="364">
                  <c:v>1.5166666666666626</c:v>
                </c:pt>
                <c:pt idx="365">
                  <c:v>1.5208333333333293</c:v>
                </c:pt>
                <c:pt idx="366">
                  <c:v>1.5249999999999959</c:v>
                </c:pt>
                <c:pt idx="367">
                  <c:v>1.5291666666666626</c:v>
                </c:pt>
                <c:pt idx="368">
                  <c:v>1.5333333333333292</c:v>
                </c:pt>
                <c:pt idx="369">
                  <c:v>1.5374999999999959</c:v>
                </c:pt>
                <c:pt idx="370">
                  <c:v>1.5416666666666625</c:v>
                </c:pt>
                <c:pt idx="371">
                  <c:v>1.5458333333333292</c:v>
                </c:pt>
                <c:pt idx="372">
                  <c:v>1.5499999999999958</c:v>
                </c:pt>
                <c:pt idx="373">
                  <c:v>1.5541666666666625</c:v>
                </c:pt>
                <c:pt idx="374">
                  <c:v>1.5583333333333291</c:v>
                </c:pt>
                <c:pt idx="375">
                  <c:v>1.5624999999999958</c:v>
                </c:pt>
                <c:pt idx="376">
                  <c:v>1.5666666666666624</c:v>
                </c:pt>
                <c:pt idx="377">
                  <c:v>1.5708333333333291</c:v>
                </c:pt>
                <c:pt idx="378">
                  <c:v>1.5749999999999957</c:v>
                </c:pt>
                <c:pt idx="379">
                  <c:v>1.5791666666666624</c:v>
                </c:pt>
                <c:pt idx="380">
                  <c:v>1.583333333333329</c:v>
                </c:pt>
                <c:pt idx="381">
                  <c:v>1.5874999999999957</c:v>
                </c:pt>
                <c:pt idx="382">
                  <c:v>1.5916666666666623</c:v>
                </c:pt>
                <c:pt idx="383">
                  <c:v>1.595833333333329</c:v>
                </c:pt>
                <c:pt idx="384">
                  <c:v>1.5999999999999956</c:v>
                </c:pt>
                <c:pt idx="385">
                  <c:v>1.6041666666666623</c:v>
                </c:pt>
                <c:pt idx="386">
                  <c:v>1.608333333333329</c:v>
                </c:pt>
                <c:pt idx="387">
                  <c:v>1.6124999999999956</c:v>
                </c:pt>
                <c:pt idx="388">
                  <c:v>1.6166666666666623</c:v>
                </c:pt>
                <c:pt idx="389">
                  <c:v>1.6208333333333289</c:v>
                </c:pt>
                <c:pt idx="390">
                  <c:v>1.6249999999999956</c:v>
                </c:pt>
                <c:pt idx="391">
                  <c:v>1.6291666666666622</c:v>
                </c:pt>
                <c:pt idx="392">
                  <c:v>1.6333333333333289</c:v>
                </c:pt>
                <c:pt idx="393">
                  <c:v>1.6374999999999955</c:v>
                </c:pt>
                <c:pt idx="394">
                  <c:v>1.6416666666666622</c:v>
                </c:pt>
                <c:pt idx="395">
                  <c:v>1.6458333333333288</c:v>
                </c:pt>
                <c:pt idx="396">
                  <c:v>1.6499999999999955</c:v>
                </c:pt>
                <c:pt idx="397">
                  <c:v>1.6541666666666621</c:v>
                </c:pt>
                <c:pt idx="398">
                  <c:v>1.6583333333333288</c:v>
                </c:pt>
                <c:pt idx="399">
                  <c:v>1.6624999999999954</c:v>
                </c:pt>
                <c:pt idx="400">
                  <c:v>1.6666666666666621</c:v>
                </c:pt>
                <c:pt idx="401">
                  <c:v>1.6708333333333287</c:v>
                </c:pt>
                <c:pt idx="402">
                  <c:v>1.6749999999999954</c:v>
                </c:pt>
                <c:pt idx="403">
                  <c:v>1.679166666666662</c:v>
                </c:pt>
                <c:pt idx="404">
                  <c:v>1.6833333333333287</c:v>
                </c:pt>
                <c:pt idx="405">
                  <c:v>1.6874999999999953</c:v>
                </c:pt>
                <c:pt idx="406">
                  <c:v>1.691666666666662</c:v>
                </c:pt>
                <c:pt idx="407">
                  <c:v>1.6958333333333286</c:v>
                </c:pt>
                <c:pt idx="408">
                  <c:v>1.6999999999999953</c:v>
                </c:pt>
                <c:pt idx="409">
                  <c:v>1.7041666666666619</c:v>
                </c:pt>
                <c:pt idx="410">
                  <c:v>1.7083333333333286</c:v>
                </c:pt>
                <c:pt idx="411">
                  <c:v>1.7124999999999952</c:v>
                </c:pt>
                <c:pt idx="412">
                  <c:v>1.7166666666666619</c:v>
                </c:pt>
                <c:pt idx="413">
                  <c:v>1.7208333333333286</c:v>
                </c:pt>
                <c:pt idx="414">
                  <c:v>1.7249999999999952</c:v>
                </c:pt>
                <c:pt idx="415">
                  <c:v>1.7291666666666619</c:v>
                </c:pt>
                <c:pt idx="416">
                  <c:v>1.7333333333333285</c:v>
                </c:pt>
                <c:pt idx="417">
                  <c:v>1.7374999999999952</c:v>
                </c:pt>
                <c:pt idx="418">
                  <c:v>1.7416666666666618</c:v>
                </c:pt>
                <c:pt idx="419">
                  <c:v>1.7458333333333285</c:v>
                </c:pt>
                <c:pt idx="420">
                  <c:v>1.7499999999999951</c:v>
                </c:pt>
                <c:pt idx="421">
                  <c:v>1.7541666666666618</c:v>
                </c:pt>
                <c:pt idx="422">
                  <c:v>1.7583333333333284</c:v>
                </c:pt>
                <c:pt idx="423">
                  <c:v>1.7624999999999951</c:v>
                </c:pt>
                <c:pt idx="424">
                  <c:v>1.7666666666666617</c:v>
                </c:pt>
                <c:pt idx="425">
                  <c:v>1.7708333333333284</c:v>
                </c:pt>
                <c:pt idx="426">
                  <c:v>1.774999999999995</c:v>
                </c:pt>
                <c:pt idx="427">
                  <c:v>1.7791666666666617</c:v>
                </c:pt>
                <c:pt idx="428">
                  <c:v>1.7833333333333283</c:v>
                </c:pt>
                <c:pt idx="429">
                  <c:v>1.787499999999995</c:v>
                </c:pt>
                <c:pt idx="430">
                  <c:v>1.7916666666666616</c:v>
                </c:pt>
                <c:pt idx="431">
                  <c:v>1.7958333333333283</c:v>
                </c:pt>
                <c:pt idx="432">
                  <c:v>1.7999999999999949</c:v>
                </c:pt>
                <c:pt idx="433">
                  <c:v>1.8041666666666616</c:v>
                </c:pt>
                <c:pt idx="434">
                  <c:v>1.8083333333333282</c:v>
                </c:pt>
                <c:pt idx="435">
                  <c:v>1.8124999999999949</c:v>
                </c:pt>
                <c:pt idx="436">
                  <c:v>1.8166666666666615</c:v>
                </c:pt>
                <c:pt idx="437">
                  <c:v>1.8208333333333282</c:v>
                </c:pt>
                <c:pt idx="438">
                  <c:v>1.8249999999999948</c:v>
                </c:pt>
                <c:pt idx="439">
                  <c:v>1.8291666666666615</c:v>
                </c:pt>
                <c:pt idx="440">
                  <c:v>1.8333333333333282</c:v>
                </c:pt>
                <c:pt idx="441">
                  <c:v>1.8374999999999948</c:v>
                </c:pt>
                <c:pt idx="442">
                  <c:v>1.8416666666666615</c:v>
                </c:pt>
                <c:pt idx="443">
                  <c:v>1.8458333333333281</c:v>
                </c:pt>
                <c:pt idx="444">
                  <c:v>1.8499999999999948</c:v>
                </c:pt>
                <c:pt idx="445">
                  <c:v>1.8541666666666614</c:v>
                </c:pt>
                <c:pt idx="446">
                  <c:v>1.8583333333333281</c:v>
                </c:pt>
                <c:pt idx="447">
                  <c:v>1.8624999999999947</c:v>
                </c:pt>
                <c:pt idx="448">
                  <c:v>1.8666666666666614</c:v>
                </c:pt>
                <c:pt idx="449">
                  <c:v>1.870833333333328</c:v>
                </c:pt>
                <c:pt idx="450">
                  <c:v>1.8749999999999947</c:v>
                </c:pt>
                <c:pt idx="451">
                  <c:v>1.8791666666666613</c:v>
                </c:pt>
                <c:pt idx="452">
                  <c:v>1.883333333333328</c:v>
                </c:pt>
                <c:pt idx="453">
                  <c:v>1.8874999999999946</c:v>
                </c:pt>
                <c:pt idx="454">
                  <c:v>1.8916666666666613</c:v>
                </c:pt>
                <c:pt idx="455">
                  <c:v>1.8958333333333279</c:v>
                </c:pt>
                <c:pt idx="456">
                  <c:v>1.8999999999999946</c:v>
                </c:pt>
                <c:pt idx="457">
                  <c:v>1.9041666666666612</c:v>
                </c:pt>
                <c:pt idx="458">
                  <c:v>1.9083333333333279</c:v>
                </c:pt>
                <c:pt idx="459">
                  <c:v>1.9124999999999945</c:v>
                </c:pt>
                <c:pt idx="460">
                  <c:v>1.9166666666666612</c:v>
                </c:pt>
                <c:pt idx="461">
                  <c:v>1.9208333333333278</c:v>
                </c:pt>
                <c:pt idx="462">
                  <c:v>1.9249999999999945</c:v>
                </c:pt>
                <c:pt idx="463">
                  <c:v>1.9291666666666611</c:v>
                </c:pt>
                <c:pt idx="464">
                  <c:v>1.9333333333333278</c:v>
                </c:pt>
                <c:pt idx="465">
                  <c:v>1.9374999999999944</c:v>
                </c:pt>
                <c:pt idx="466">
                  <c:v>1.9416666666666611</c:v>
                </c:pt>
                <c:pt idx="467">
                  <c:v>1.9458333333333278</c:v>
                </c:pt>
                <c:pt idx="468">
                  <c:v>1.9499999999999944</c:v>
                </c:pt>
                <c:pt idx="469">
                  <c:v>1.9541666666666611</c:v>
                </c:pt>
                <c:pt idx="470">
                  <c:v>1.9583333333333277</c:v>
                </c:pt>
                <c:pt idx="471">
                  <c:v>1.9624999999999944</c:v>
                </c:pt>
                <c:pt idx="472">
                  <c:v>1.966666666666661</c:v>
                </c:pt>
                <c:pt idx="473">
                  <c:v>1.9708333333333277</c:v>
                </c:pt>
                <c:pt idx="474">
                  <c:v>1.9749999999999943</c:v>
                </c:pt>
                <c:pt idx="475">
                  <c:v>1.979166666666661</c:v>
                </c:pt>
                <c:pt idx="476">
                  <c:v>1.9833333333333276</c:v>
                </c:pt>
                <c:pt idx="477">
                  <c:v>1.9874999999999943</c:v>
                </c:pt>
                <c:pt idx="478">
                  <c:v>1.9916666666666609</c:v>
                </c:pt>
                <c:pt idx="479">
                  <c:v>1.9958333333333276</c:v>
                </c:pt>
                <c:pt idx="480">
                  <c:v>1.9999999999999942</c:v>
                </c:pt>
                <c:pt idx="481">
                  <c:v>2.0041666666666611</c:v>
                </c:pt>
                <c:pt idx="482">
                  <c:v>2.008333333333328</c:v>
                </c:pt>
                <c:pt idx="483">
                  <c:v>2.0124999999999948</c:v>
                </c:pt>
                <c:pt idx="484">
                  <c:v>2.0166666666666617</c:v>
                </c:pt>
                <c:pt idx="485">
                  <c:v>2.0208333333333286</c:v>
                </c:pt>
                <c:pt idx="486">
                  <c:v>2.0249999999999955</c:v>
                </c:pt>
                <c:pt idx="487">
                  <c:v>2.0291666666666623</c:v>
                </c:pt>
                <c:pt idx="488">
                  <c:v>2.0333333333333292</c:v>
                </c:pt>
                <c:pt idx="489">
                  <c:v>2.0374999999999961</c:v>
                </c:pt>
                <c:pt idx="490">
                  <c:v>2.041666666666663</c:v>
                </c:pt>
                <c:pt idx="491">
                  <c:v>2.0458333333333298</c:v>
                </c:pt>
                <c:pt idx="492">
                  <c:v>2.0499999999999967</c:v>
                </c:pt>
                <c:pt idx="493">
                  <c:v>2.0541666666666636</c:v>
                </c:pt>
                <c:pt idx="494">
                  <c:v>2.0583333333333305</c:v>
                </c:pt>
                <c:pt idx="495">
                  <c:v>2.0624999999999973</c:v>
                </c:pt>
                <c:pt idx="496">
                  <c:v>2.0666666666666642</c:v>
                </c:pt>
                <c:pt idx="497">
                  <c:v>2.0708333333333311</c:v>
                </c:pt>
                <c:pt idx="498">
                  <c:v>2.074999999999998</c:v>
                </c:pt>
              </c:numCache>
            </c:numRef>
          </c:cat>
          <c:val>
            <c:numRef>
              <c:f>Sheet1!$X$12:$X$510</c:f>
              <c:numCache>
                <c:formatCode>General</c:formatCode>
                <c:ptCount val="499"/>
                <c:pt idx="0">
                  <c:v>100</c:v>
                </c:pt>
                <c:pt idx="1">
                  <c:v>100.02400981342802</c:v>
                </c:pt>
                <c:pt idx="2">
                  <c:v>99.828780161585215</c:v>
                </c:pt>
                <c:pt idx="3">
                  <c:v>100.09249412484773</c:v>
                </c:pt>
                <c:pt idx="4">
                  <c:v>99.113962319294885</c:v>
                </c:pt>
                <c:pt idx="5">
                  <c:v>101.99259470889288</c:v>
                </c:pt>
                <c:pt idx="6">
                  <c:v>101.88237139959575</c:v>
                </c:pt>
                <c:pt idx="7">
                  <c:v>100.73328309122502</c:v>
                </c:pt>
                <c:pt idx="8">
                  <c:v>102.49183792895182</c:v>
                </c:pt>
                <c:pt idx="9">
                  <c:v>101.506227710245</c:v>
                </c:pt>
                <c:pt idx="10">
                  <c:v>102.05453720601787</c:v>
                </c:pt>
                <c:pt idx="11">
                  <c:v>100.05552209496901</c:v>
                </c:pt>
                <c:pt idx="12">
                  <c:v>98.355192350095763</c:v>
                </c:pt>
                <c:pt idx="13">
                  <c:v>98.566076852176167</c:v>
                </c:pt>
                <c:pt idx="14">
                  <c:v>97.687985206070479</c:v>
                </c:pt>
                <c:pt idx="15">
                  <c:v>98.239711805279057</c:v>
                </c:pt>
                <c:pt idx="16">
                  <c:v>97.720715844531469</c:v>
                </c:pt>
                <c:pt idx="17">
                  <c:v>99.224841622054143</c:v>
                </c:pt>
                <c:pt idx="18">
                  <c:v>97.111314064530006</c:v>
                </c:pt>
                <c:pt idx="19">
                  <c:v>98.228284624731188</c:v>
                </c:pt>
                <c:pt idx="20">
                  <c:v>97.399760792296405</c:v>
                </c:pt>
                <c:pt idx="21">
                  <c:v>97.843809161936861</c:v>
                </c:pt>
                <c:pt idx="22">
                  <c:v>98.829907043752328</c:v>
                </c:pt>
                <c:pt idx="23">
                  <c:v>97.388790634828098</c:v>
                </c:pt>
                <c:pt idx="24">
                  <c:v>97.501539059401935</c:v>
                </c:pt>
                <c:pt idx="25">
                  <c:v>97.762936823000459</c:v>
                </c:pt>
                <c:pt idx="26">
                  <c:v>98.047878369986236</c:v>
                </c:pt>
                <c:pt idx="27">
                  <c:v>96.075717191114435</c:v>
                </c:pt>
                <c:pt idx="28">
                  <c:v>94.530885985403245</c:v>
                </c:pt>
                <c:pt idx="29">
                  <c:v>93.796014896404103</c:v>
                </c:pt>
                <c:pt idx="30">
                  <c:v>93.888370939799415</c:v>
                </c:pt>
                <c:pt idx="31">
                  <c:v>94.020442566109764</c:v>
                </c:pt>
                <c:pt idx="32">
                  <c:v>94.824147031468812</c:v>
                </c:pt>
                <c:pt idx="33">
                  <c:v>93.043693744356531</c:v>
                </c:pt>
                <c:pt idx="34">
                  <c:v>91.704956667318115</c:v>
                </c:pt>
                <c:pt idx="35">
                  <c:v>93.213246583575568</c:v>
                </c:pt>
                <c:pt idx="36">
                  <c:v>96.352948284511797</c:v>
                </c:pt>
                <c:pt idx="37">
                  <c:v>96.821774504641695</c:v>
                </c:pt>
                <c:pt idx="38">
                  <c:v>98.068656490560883</c:v>
                </c:pt>
                <c:pt idx="39">
                  <c:v>97.991459737331155</c:v>
                </c:pt>
                <c:pt idx="40">
                  <c:v>97.068498356846106</c:v>
                </c:pt>
                <c:pt idx="41">
                  <c:v>97.263624998281458</c:v>
                </c:pt>
                <c:pt idx="42">
                  <c:v>94.993289176683973</c:v>
                </c:pt>
                <c:pt idx="43">
                  <c:v>94.645096787499043</c:v>
                </c:pt>
                <c:pt idx="44">
                  <c:v>93.350352223512118</c:v>
                </c:pt>
                <c:pt idx="45">
                  <c:v>91.839480944428473</c:v>
                </c:pt>
                <c:pt idx="46">
                  <c:v>92.824757202044651</c:v>
                </c:pt>
                <c:pt idx="47">
                  <c:v>93.629932684089383</c:v>
                </c:pt>
                <c:pt idx="48">
                  <c:v>92.651019797804409</c:v>
                </c:pt>
                <c:pt idx="49">
                  <c:v>93.497901344369922</c:v>
                </c:pt>
                <c:pt idx="50">
                  <c:v>93.578605677429167</c:v>
                </c:pt>
                <c:pt idx="51">
                  <c:v>94.517754024439924</c:v>
                </c:pt>
                <c:pt idx="52">
                  <c:v>94.362231110631313</c:v>
                </c:pt>
                <c:pt idx="53">
                  <c:v>94.721265871114497</c:v>
                </c:pt>
                <c:pt idx="54">
                  <c:v>94.146626875169048</c:v>
                </c:pt>
                <c:pt idx="55">
                  <c:v>95.802779347044449</c:v>
                </c:pt>
                <c:pt idx="56">
                  <c:v>94.096290850656587</c:v>
                </c:pt>
                <c:pt idx="57">
                  <c:v>94.261215396413874</c:v>
                </c:pt>
                <c:pt idx="58">
                  <c:v>94.297818256274709</c:v>
                </c:pt>
                <c:pt idx="59">
                  <c:v>96.049331933340028</c:v>
                </c:pt>
                <c:pt idx="60">
                  <c:v>95.334964383815887</c:v>
                </c:pt>
                <c:pt idx="61">
                  <c:v>95.514150202527617</c:v>
                </c:pt>
                <c:pt idx="62">
                  <c:v>96.334841756734747</c:v>
                </c:pt>
                <c:pt idx="63">
                  <c:v>93.158293126684939</c:v>
                </c:pt>
                <c:pt idx="64">
                  <c:v>93.376160746812403</c:v>
                </c:pt>
                <c:pt idx="65">
                  <c:v>93.482217921942336</c:v>
                </c:pt>
                <c:pt idx="66">
                  <c:v>93.584988784197208</c:v>
                </c:pt>
                <c:pt idx="67">
                  <c:v>93.071882441142549</c:v>
                </c:pt>
                <c:pt idx="68">
                  <c:v>93.516406197317366</c:v>
                </c:pt>
                <c:pt idx="69">
                  <c:v>93.39747866955058</c:v>
                </c:pt>
                <c:pt idx="70">
                  <c:v>93.138730090445392</c:v>
                </c:pt>
                <c:pt idx="71">
                  <c:v>92.76992844677568</c:v>
                </c:pt>
                <c:pt idx="72">
                  <c:v>94.842593924016427</c:v>
                </c:pt>
                <c:pt idx="73">
                  <c:v>93.952490992765888</c:v>
                </c:pt>
                <c:pt idx="74">
                  <c:v>93.904795775767326</c:v>
                </c:pt>
                <c:pt idx="75">
                  <c:v>94.683559519529382</c:v>
                </c:pt>
                <c:pt idx="76">
                  <c:v>94.245047242651637</c:v>
                </c:pt>
                <c:pt idx="77">
                  <c:v>96.646431311553343</c:v>
                </c:pt>
                <c:pt idx="78">
                  <c:v>97.181679770784811</c:v>
                </c:pt>
                <c:pt idx="79">
                  <c:v>98.313294375559025</c:v>
                </c:pt>
                <c:pt idx="80">
                  <c:v>97.186053455101231</c:v>
                </c:pt>
                <c:pt idx="81">
                  <c:v>96.493879468904524</c:v>
                </c:pt>
                <c:pt idx="82">
                  <c:v>97.996947182834219</c:v>
                </c:pt>
                <c:pt idx="83">
                  <c:v>98.898579793910898</c:v>
                </c:pt>
                <c:pt idx="84">
                  <c:v>96.142668262663079</c:v>
                </c:pt>
                <c:pt idx="85">
                  <c:v>96.637122683473962</c:v>
                </c:pt>
                <c:pt idx="86">
                  <c:v>97.221759809206674</c:v>
                </c:pt>
                <c:pt idx="87">
                  <c:v>97.304732808064543</c:v>
                </c:pt>
                <c:pt idx="88">
                  <c:v>97.090168650641061</c:v>
                </c:pt>
                <c:pt idx="89">
                  <c:v>97.251094336624149</c:v>
                </c:pt>
                <c:pt idx="90">
                  <c:v>99.952480050526816</c:v>
                </c:pt>
                <c:pt idx="91">
                  <c:v>98.282729135796302</c:v>
                </c:pt>
                <c:pt idx="92">
                  <c:v>97.197372773654095</c:v>
                </c:pt>
                <c:pt idx="93">
                  <c:v>98.283909764942351</c:v>
                </c:pt>
                <c:pt idx="94">
                  <c:v>97.500078591196242</c:v>
                </c:pt>
                <c:pt idx="95">
                  <c:v>98.909627957991304</c:v>
                </c:pt>
                <c:pt idx="96">
                  <c:v>96.827496311477262</c:v>
                </c:pt>
                <c:pt idx="97">
                  <c:v>95.551128674695377</c:v>
                </c:pt>
                <c:pt idx="98">
                  <c:v>94.995616437381983</c:v>
                </c:pt>
                <c:pt idx="99">
                  <c:v>95.654024159326653</c:v>
                </c:pt>
                <c:pt idx="100">
                  <c:v>93.613348380981279</c:v>
                </c:pt>
                <c:pt idx="101">
                  <c:v>94.017007729349942</c:v>
                </c:pt>
                <c:pt idx="102">
                  <c:v>95.359561587603224</c:v>
                </c:pt>
                <c:pt idx="103">
                  <c:v>96.975519011572828</c:v>
                </c:pt>
                <c:pt idx="104">
                  <c:v>96.815788082688726</c:v>
                </c:pt>
                <c:pt idx="105">
                  <c:v>97.245824909818737</c:v>
                </c:pt>
                <c:pt idx="106">
                  <c:v>96.198127704152341</c:v>
                </c:pt>
                <c:pt idx="107">
                  <c:v>97.950048357633818</c:v>
                </c:pt>
                <c:pt idx="108">
                  <c:v>98.666851463916203</c:v>
                </c:pt>
                <c:pt idx="109">
                  <c:v>99.16866269551025</c:v>
                </c:pt>
                <c:pt idx="110">
                  <c:v>98.944266112575519</c:v>
                </c:pt>
                <c:pt idx="111">
                  <c:v>98.990479197696288</c:v>
                </c:pt>
                <c:pt idx="112">
                  <c:v>98.781425368448652</c:v>
                </c:pt>
                <c:pt idx="113">
                  <c:v>97.050665180874105</c:v>
                </c:pt>
                <c:pt idx="114">
                  <c:v>97.001949646382329</c:v>
                </c:pt>
                <c:pt idx="115">
                  <c:v>98.277980208105973</c:v>
                </c:pt>
                <c:pt idx="116">
                  <c:v>98.394649946567412</c:v>
                </c:pt>
                <c:pt idx="117">
                  <c:v>99.498866949422464</c:v>
                </c:pt>
                <c:pt idx="118">
                  <c:v>99.698294465393616</c:v>
                </c:pt>
                <c:pt idx="119">
                  <c:v>100.26530204453969</c:v>
                </c:pt>
                <c:pt idx="120">
                  <c:v>100.87729405396652</c:v>
                </c:pt>
                <c:pt idx="121">
                  <c:v>102.78974409138017</c:v>
                </c:pt>
                <c:pt idx="122">
                  <c:v>104.28921392099812</c:v>
                </c:pt>
                <c:pt idx="123">
                  <c:v>103.87118416169359</c:v>
                </c:pt>
                <c:pt idx="124">
                  <c:v>103.68312377692128</c:v>
                </c:pt>
                <c:pt idx="125">
                  <c:v>102.78553201804486</c:v>
                </c:pt>
                <c:pt idx="126">
                  <c:v>101.87623694240398</c:v>
                </c:pt>
                <c:pt idx="127">
                  <c:v>100.27016628156747</c:v>
                </c:pt>
                <c:pt idx="128">
                  <c:v>98.952434830194278</c:v>
                </c:pt>
                <c:pt idx="129">
                  <c:v>97.997712139250638</c:v>
                </c:pt>
                <c:pt idx="130">
                  <c:v>96.642560249756713</c:v>
                </c:pt>
                <c:pt idx="131">
                  <c:v>96.077598688987067</c:v>
                </c:pt>
                <c:pt idx="132">
                  <c:v>95.972776395350436</c:v>
                </c:pt>
                <c:pt idx="133">
                  <c:v>99.360523863707471</c:v>
                </c:pt>
                <c:pt idx="134">
                  <c:v>99.841694522847916</c:v>
                </c:pt>
                <c:pt idx="135">
                  <c:v>100.66203580573935</c:v>
                </c:pt>
                <c:pt idx="136">
                  <c:v>102.20146372024159</c:v>
                </c:pt>
                <c:pt idx="137">
                  <c:v>102.99518750643959</c:v>
                </c:pt>
                <c:pt idx="138">
                  <c:v>102.90894327974563</c:v>
                </c:pt>
                <c:pt idx="139">
                  <c:v>105.21140289411804</c:v>
                </c:pt>
                <c:pt idx="140">
                  <c:v>105.15151005137368</c:v>
                </c:pt>
                <c:pt idx="141">
                  <c:v>104.84308165600189</c:v>
                </c:pt>
                <c:pt idx="142">
                  <c:v>104.25466993780087</c:v>
                </c:pt>
                <c:pt idx="143">
                  <c:v>102.83841664757813</c:v>
                </c:pt>
                <c:pt idx="144">
                  <c:v>101.26908419558994</c:v>
                </c:pt>
                <c:pt idx="145">
                  <c:v>102.31584422492881</c:v>
                </c:pt>
                <c:pt idx="146">
                  <c:v>102.19655935107586</c:v>
                </c:pt>
                <c:pt idx="147">
                  <c:v>101.87934495017386</c:v>
                </c:pt>
                <c:pt idx="148">
                  <c:v>104.07296035591041</c:v>
                </c:pt>
                <c:pt idx="149">
                  <c:v>102.43655937506242</c:v>
                </c:pt>
                <c:pt idx="150">
                  <c:v>102.39163568949058</c:v>
                </c:pt>
                <c:pt idx="151">
                  <c:v>101.79873247374563</c:v>
                </c:pt>
                <c:pt idx="152">
                  <c:v>100.72153486026026</c:v>
                </c:pt>
                <c:pt idx="153">
                  <c:v>100.81900753176198</c:v>
                </c:pt>
                <c:pt idx="154">
                  <c:v>101.44100548479298</c:v>
                </c:pt>
                <c:pt idx="155">
                  <c:v>103.24056824408039</c:v>
                </c:pt>
                <c:pt idx="156">
                  <c:v>104.00380047389056</c:v>
                </c:pt>
                <c:pt idx="157">
                  <c:v>100.02079967446501</c:v>
                </c:pt>
                <c:pt idx="158">
                  <c:v>100.50073544201706</c:v>
                </c:pt>
                <c:pt idx="159">
                  <c:v>98.766700315971718</c:v>
                </c:pt>
                <c:pt idx="160">
                  <c:v>97.682420299453668</c:v>
                </c:pt>
                <c:pt idx="161">
                  <c:v>97.002149235360733</c:v>
                </c:pt>
                <c:pt idx="162">
                  <c:v>96.129625020144388</c:v>
                </c:pt>
                <c:pt idx="163">
                  <c:v>98.002165663569826</c:v>
                </c:pt>
                <c:pt idx="164">
                  <c:v>99.498297181478364</c:v>
                </c:pt>
                <c:pt idx="165">
                  <c:v>100.12573946190899</c:v>
                </c:pt>
                <c:pt idx="166">
                  <c:v>101.666066724543</c:v>
                </c:pt>
                <c:pt idx="167">
                  <c:v>100.66053988864365</c:v>
                </c:pt>
                <c:pt idx="168">
                  <c:v>101.44959538152803</c:v>
                </c:pt>
                <c:pt idx="169">
                  <c:v>102.03206112312792</c:v>
                </c:pt>
                <c:pt idx="170">
                  <c:v>101.72340032980975</c:v>
                </c:pt>
                <c:pt idx="171">
                  <c:v>100.88877899700094</c:v>
                </c:pt>
                <c:pt idx="172">
                  <c:v>103.84217963328847</c:v>
                </c:pt>
                <c:pt idx="173">
                  <c:v>103.8946914991334</c:v>
                </c:pt>
                <c:pt idx="174">
                  <c:v>104.56124169421562</c:v>
                </c:pt>
                <c:pt idx="175">
                  <c:v>102.70814325348442</c:v>
                </c:pt>
                <c:pt idx="176">
                  <c:v>103.61764833420258</c:v>
                </c:pt>
                <c:pt idx="177">
                  <c:v>101.23855103452114</c:v>
                </c:pt>
                <c:pt idx="178">
                  <c:v>101.33196784683975</c:v>
                </c:pt>
                <c:pt idx="179">
                  <c:v>100.59199434033526</c:v>
                </c:pt>
                <c:pt idx="180">
                  <c:v>99.689778579125587</c:v>
                </c:pt>
                <c:pt idx="181">
                  <c:v>101.85322366219437</c:v>
                </c:pt>
                <c:pt idx="182">
                  <c:v>100.81394060398574</c:v>
                </c:pt>
                <c:pt idx="183">
                  <c:v>101.68639462349238</c:v>
                </c:pt>
                <c:pt idx="184">
                  <c:v>101.99419616936505</c:v>
                </c:pt>
                <c:pt idx="185">
                  <c:v>103.13029373632742</c:v>
                </c:pt>
                <c:pt idx="186">
                  <c:v>103.63529202803605</c:v>
                </c:pt>
                <c:pt idx="187">
                  <c:v>106.16284637022883</c:v>
                </c:pt>
                <c:pt idx="188">
                  <c:v>104.29331824686977</c:v>
                </c:pt>
                <c:pt idx="189">
                  <c:v>104.39381603961999</c:v>
                </c:pt>
                <c:pt idx="190">
                  <c:v>105.39160130590386</c:v>
                </c:pt>
                <c:pt idx="191">
                  <c:v>107.34916566837204</c:v>
                </c:pt>
                <c:pt idx="192">
                  <c:v>108.81122689563227</c:v>
                </c:pt>
                <c:pt idx="193">
                  <c:v>109.75687858373793</c:v>
                </c:pt>
                <c:pt idx="194">
                  <c:v>107.46817295880408</c:v>
                </c:pt>
                <c:pt idx="195">
                  <c:v>108.40728432398596</c:v>
                </c:pt>
                <c:pt idx="196">
                  <c:v>109.56035911257972</c:v>
                </c:pt>
                <c:pt idx="197">
                  <c:v>109.85216828658041</c:v>
                </c:pt>
                <c:pt idx="198">
                  <c:v>109.75513458542829</c:v>
                </c:pt>
                <c:pt idx="199">
                  <c:v>111.05496686019221</c:v>
                </c:pt>
                <c:pt idx="200">
                  <c:v>110.55111604349145</c:v>
                </c:pt>
                <c:pt idx="201">
                  <c:v>110.97770547679809</c:v>
                </c:pt>
                <c:pt idx="202">
                  <c:v>109.88299664423116</c:v>
                </c:pt>
                <c:pt idx="203">
                  <c:v>108.00134219067284</c:v>
                </c:pt>
                <c:pt idx="204">
                  <c:v>108.54705372398756</c:v>
                </c:pt>
                <c:pt idx="205">
                  <c:v>109.8100189034833</c:v>
                </c:pt>
                <c:pt idx="206">
                  <c:v>107.3789882331953</c:v>
                </c:pt>
                <c:pt idx="207">
                  <c:v>106.21479691795767</c:v>
                </c:pt>
                <c:pt idx="208">
                  <c:v>107.53274013591104</c:v>
                </c:pt>
                <c:pt idx="209">
                  <c:v>106.9025544870985</c:v>
                </c:pt>
                <c:pt idx="210">
                  <c:v>107.58889412635232</c:v>
                </c:pt>
                <c:pt idx="211">
                  <c:v>108.26208607700654</c:v>
                </c:pt>
                <c:pt idx="212">
                  <c:v>104.68059462145041</c:v>
                </c:pt>
                <c:pt idx="213">
                  <c:v>106.89020721649763</c:v>
                </c:pt>
                <c:pt idx="214">
                  <c:v>105.85209782376324</c:v>
                </c:pt>
                <c:pt idx="215">
                  <c:v>107.77968349998399</c:v>
                </c:pt>
                <c:pt idx="216">
                  <c:v>108.63509355461731</c:v>
                </c:pt>
                <c:pt idx="217">
                  <c:v>107.82818160426073</c:v>
                </c:pt>
                <c:pt idx="218">
                  <c:v>107.84539720051336</c:v>
                </c:pt>
                <c:pt idx="219">
                  <c:v>107.08721571767508</c:v>
                </c:pt>
                <c:pt idx="220">
                  <c:v>105.74141822882511</c:v>
                </c:pt>
                <c:pt idx="221">
                  <c:v>107.35049467148725</c:v>
                </c:pt>
                <c:pt idx="222">
                  <c:v>106.66483496049281</c:v>
                </c:pt>
                <c:pt idx="223">
                  <c:v>107.2480070865401</c:v>
                </c:pt>
                <c:pt idx="224">
                  <c:v>109.18680676486952</c:v>
                </c:pt>
                <c:pt idx="225">
                  <c:v>111.2254068148884</c:v>
                </c:pt>
                <c:pt idx="226">
                  <c:v>111.80964724600591</c:v>
                </c:pt>
                <c:pt idx="227">
                  <c:v>110.89464037061086</c:v>
                </c:pt>
                <c:pt idx="228">
                  <c:v>109.6540162094465</c:v>
                </c:pt>
                <c:pt idx="229">
                  <c:v>111.39526344011253</c:v>
                </c:pt>
                <c:pt idx="230">
                  <c:v>112.85813166187724</c:v>
                </c:pt>
                <c:pt idx="231">
                  <c:v>114.37722641038584</c:v>
                </c:pt>
                <c:pt idx="232">
                  <c:v>114.82138499042341</c:v>
                </c:pt>
                <c:pt idx="233">
                  <c:v>116.04756484868562</c:v>
                </c:pt>
                <c:pt idx="234">
                  <c:v>113.34867976916166</c:v>
                </c:pt>
                <c:pt idx="235">
                  <c:v>112.44048633436068</c:v>
                </c:pt>
                <c:pt idx="236">
                  <c:v>111.37683915637405</c:v>
                </c:pt>
                <c:pt idx="237">
                  <c:v>114.00711437238054</c:v>
                </c:pt>
                <c:pt idx="238">
                  <c:v>111.47697424867549</c:v>
                </c:pt>
                <c:pt idx="239">
                  <c:v>110.08201015266883</c:v>
                </c:pt>
                <c:pt idx="240">
                  <c:v>111.21419105017728</c:v>
                </c:pt>
                <c:pt idx="241">
                  <c:v>113.254929476962</c:v>
                </c:pt>
                <c:pt idx="242">
                  <c:v>112.16092392291658</c:v>
                </c:pt>
                <c:pt idx="243">
                  <c:v>112.20058019981985</c:v>
                </c:pt>
                <c:pt idx="244">
                  <c:v>110.92616561448926</c:v>
                </c:pt>
                <c:pt idx="245">
                  <c:v>111.23199564264866</c:v>
                </c:pt>
                <c:pt idx="246">
                  <c:v>111.35995591753623</c:v>
                </c:pt>
                <c:pt idx="247">
                  <c:v>109.62228287876128</c:v>
                </c:pt>
                <c:pt idx="248">
                  <c:v>109.07384570982624</c:v>
                </c:pt>
                <c:pt idx="249">
                  <c:v>106.79950861285316</c:v>
                </c:pt>
                <c:pt idx="250">
                  <c:v>105.66773887669086</c:v>
                </c:pt>
                <c:pt idx="251">
                  <c:v>106.80722240812095</c:v>
                </c:pt>
                <c:pt idx="252">
                  <c:v>108.35949869401189</c:v>
                </c:pt>
                <c:pt idx="253">
                  <c:v>106.92186570890233</c:v>
                </c:pt>
                <c:pt idx="254">
                  <c:v>105.74313046827612</c:v>
                </c:pt>
                <c:pt idx="255">
                  <c:v>106.48725222480238</c:v>
                </c:pt>
                <c:pt idx="256">
                  <c:v>104.55107496318939</c:v>
                </c:pt>
                <c:pt idx="257">
                  <c:v>105.6370876736526</c:v>
                </c:pt>
                <c:pt idx="258">
                  <c:v>104.39767038771983</c:v>
                </c:pt>
                <c:pt idx="259">
                  <c:v>104.72958711852834</c:v>
                </c:pt>
                <c:pt idx="260">
                  <c:v>103.79028748479718</c:v>
                </c:pt>
                <c:pt idx="261">
                  <c:v>102.7988428459375</c:v>
                </c:pt>
                <c:pt idx="262">
                  <c:v>100.60814733065175</c:v>
                </c:pt>
                <c:pt idx="263">
                  <c:v>99.330076551060941</c:v>
                </c:pt>
                <c:pt idx="264">
                  <c:v>99.166904339827212</c:v>
                </c:pt>
                <c:pt idx="265">
                  <c:v>99.747806485710555</c:v>
                </c:pt>
                <c:pt idx="266">
                  <c:v>98.90412165785942</c:v>
                </c:pt>
                <c:pt idx="267">
                  <c:v>99.884320904281893</c:v>
                </c:pt>
                <c:pt idx="268">
                  <c:v>99.608664248514586</c:v>
                </c:pt>
                <c:pt idx="269">
                  <c:v>98.324366186364401</c:v>
                </c:pt>
                <c:pt idx="270">
                  <c:v>98.822882700880882</c:v>
                </c:pt>
                <c:pt idx="271">
                  <c:v>98.721129080670124</c:v>
                </c:pt>
                <c:pt idx="272">
                  <c:v>98.796606622671462</c:v>
                </c:pt>
                <c:pt idx="273">
                  <c:v>97.297149869845512</c:v>
                </c:pt>
                <c:pt idx="274">
                  <c:v>99.728248880016267</c:v>
                </c:pt>
                <c:pt idx="275">
                  <c:v>99.243119195100775</c:v>
                </c:pt>
                <c:pt idx="276">
                  <c:v>101.30979580576152</c:v>
                </c:pt>
                <c:pt idx="277">
                  <c:v>103.69911475154525</c:v>
                </c:pt>
                <c:pt idx="278">
                  <c:v>102.5707475697382</c:v>
                </c:pt>
                <c:pt idx="279">
                  <c:v>102.21851405705213</c:v>
                </c:pt>
                <c:pt idx="280">
                  <c:v>101.49257101724235</c:v>
                </c:pt>
                <c:pt idx="281">
                  <c:v>102.89131244493672</c:v>
                </c:pt>
                <c:pt idx="282">
                  <c:v>102.00006399370538</c:v>
                </c:pt>
                <c:pt idx="283">
                  <c:v>102.32900792528102</c:v>
                </c:pt>
                <c:pt idx="284">
                  <c:v>103.26682941390396</c:v>
                </c:pt>
                <c:pt idx="285">
                  <c:v>104.80163306312794</c:v>
                </c:pt>
                <c:pt idx="286">
                  <c:v>103.69478051861651</c:v>
                </c:pt>
                <c:pt idx="287">
                  <c:v>106.14644192581511</c:v>
                </c:pt>
                <c:pt idx="288">
                  <c:v>105.81708239924288</c:v>
                </c:pt>
                <c:pt idx="289">
                  <c:v>105.24198269917848</c:v>
                </c:pt>
                <c:pt idx="290">
                  <c:v>107.73463035675273</c:v>
                </c:pt>
                <c:pt idx="291">
                  <c:v>109.6846072072203</c:v>
                </c:pt>
                <c:pt idx="292">
                  <c:v>109.69206937552782</c:v>
                </c:pt>
                <c:pt idx="293">
                  <c:v>110.2080073417665</c:v>
                </c:pt>
                <c:pt idx="294">
                  <c:v>106.53628496798366</c:v>
                </c:pt>
                <c:pt idx="295">
                  <c:v>106.75279241693997</c:v>
                </c:pt>
                <c:pt idx="296">
                  <c:v>105.87884159237264</c:v>
                </c:pt>
                <c:pt idx="297">
                  <c:v>106.43302639343065</c:v>
                </c:pt>
                <c:pt idx="298">
                  <c:v>104.75978828431363</c:v>
                </c:pt>
                <c:pt idx="299">
                  <c:v>103.18206504986125</c:v>
                </c:pt>
                <c:pt idx="300">
                  <c:v>100.7333926895629</c:v>
                </c:pt>
                <c:pt idx="301">
                  <c:v>100.06316750461124</c:v>
                </c:pt>
                <c:pt idx="302">
                  <c:v>100.79872785543412</c:v>
                </c:pt>
                <c:pt idx="303">
                  <c:v>98.07814360151913</c:v>
                </c:pt>
                <c:pt idx="304">
                  <c:v>96.815884155578487</c:v>
                </c:pt>
                <c:pt idx="305">
                  <c:v>97.444236327700466</c:v>
                </c:pt>
                <c:pt idx="306">
                  <c:v>97.991877457229222</c:v>
                </c:pt>
                <c:pt idx="307">
                  <c:v>99.466773494112815</c:v>
                </c:pt>
                <c:pt idx="308">
                  <c:v>98.015143213022512</c:v>
                </c:pt>
                <c:pt idx="309">
                  <c:v>99.119149604523187</c:v>
                </c:pt>
                <c:pt idx="310">
                  <c:v>100.45360957413349</c:v>
                </c:pt>
                <c:pt idx="311">
                  <c:v>100.04380971457914</c:v>
                </c:pt>
                <c:pt idx="312">
                  <c:v>100.08800614589354</c:v>
                </c:pt>
                <c:pt idx="313">
                  <c:v>99.860580811625127</c:v>
                </c:pt>
                <c:pt idx="314">
                  <c:v>100.02532720191304</c:v>
                </c:pt>
                <c:pt idx="315">
                  <c:v>99.35691602483891</c:v>
                </c:pt>
                <c:pt idx="316">
                  <c:v>98.397974060069686</c:v>
                </c:pt>
                <c:pt idx="317">
                  <c:v>98.16714878209271</c:v>
                </c:pt>
                <c:pt idx="318">
                  <c:v>100.84290111554714</c:v>
                </c:pt>
                <c:pt idx="319">
                  <c:v>100.04527580257472</c:v>
                </c:pt>
                <c:pt idx="320">
                  <c:v>100.08882710944239</c:v>
                </c:pt>
                <c:pt idx="321">
                  <c:v>103.53021749203279</c:v>
                </c:pt>
                <c:pt idx="322">
                  <c:v>102.28556958437605</c:v>
                </c:pt>
                <c:pt idx="323">
                  <c:v>101.17141489434647</c:v>
                </c:pt>
                <c:pt idx="324">
                  <c:v>101.33426484758559</c:v>
                </c:pt>
                <c:pt idx="325">
                  <c:v>101.80376144822698</c:v>
                </c:pt>
                <c:pt idx="326">
                  <c:v>103.56115506937934</c:v>
                </c:pt>
                <c:pt idx="327">
                  <c:v>102.68297656633031</c:v>
                </c:pt>
                <c:pt idx="328">
                  <c:v>101.84838660091127</c:v>
                </c:pt>
                <c:pt idx="329">
                  <c:v>101.0955756940359</c:v>
                </c:pt>
                <c:pt idx="330">
                  <c:v>101.07673424292767</c:v>
                </c:pt>
                <c:pt idx="331">
                  <c:v>101.15332343491963</c:v>
                </c:pt>
                <c:pt idx="332">
                  <c:v>101.61425396615256</c:v>
                </c:pt>
                <c:pt idx="333">
                  <c:v>101.52164136978799</c:v>
                </c:pt>
                <c:pt idx="334">
                  <c:v>100.20849113979772</c:v>
                </c:pt>
                <c:pt idx="335">
                  <c:v>99.354563225671839</c:v>
                </c:pt>
                <c:pt idx="336">
                  <c:v>99.801559918723257</c:v>
                </c:pt>
                <c:pt idx="337">
                  <c:v>101.64197655467466</c:v>
                </c:pt>
                <c:pt idx="338">
                  <c:v>105.18991845210738</c:v>
                </c:pt>
                <c:pt idx="339">
                  <c:v>105.71035989750357</c:v>
                </c:pt>
                <c:pt idx="340">
                  <c:v>105.04022638680777</c:v>
                </c:pt>
                <c:pt idx="341">
                  <c:v>105.22039461880713</c:v>
                </c:pt>
                <c:pt idx="342">
                  <c:v>104.99772260936122</c:v>
                </c:pt>
                <c:pt idx="343">
                  <c:v>104.48102172614787</c:v>
                </c:pt>
                <c:pt idx="344">
                  <c:v>104.78065101996758</c:v>
                </c:pt>
                <c:pt idx="345">
                  <c:v>105.51964025733865</c:v>
                </c:pt>
                <c:pt idx="346">
                  <c:v>105.56043572734359</c:v>
                </c:pt>
                <c:pt idx="347">
                  <c:v>106.10566268007244</c:v>
                </c:pt>
                <c:pt idx="348">
                  <c:v>107.12169675154747</c:v>
                </c:pt>
                <c:pt idx="349">
                  <c:v>108.05667311175618</c:v>
                </c:pt>
                <c:pt idx="350">
                  <c:v>108.36082421163222</c:v>
                </c:pt>
                <c:pt idx="351">
                  <c:v>105.70189823168164</c:v>
                </c:pt>
                <c:pt idx="352">
                  <c:v>107.54372641422759</c:v>
                </c:pt>
                <c:pt idx="353">
                  <c:v>105.96983153448687</c:v>
                </c:pt>
                <c:pt idx="354">
                  <c:v>105.57666789989256</c:v>
                </c:pt>
                <c:pt idx="355">
                  <c:v>109.45377581724748</c:v>
                </c:pt>
                <c:pt idx="356">
                  <c:v>109.11815304081593</c:v>
                </c:pt>
                <c:pt idx="357">
                  <c:v>110.82870756770835</c:v>
                </c:pt>
                <c:pt idx="358">
                  <c:v>109.22735267207054</c:v>
                </c:pt>
                <c:pt idx="359">
                  <c:v>108.07870637981372</c:v>
                </c:pt>
                <c:pt idx="360">
                  <c:v>109.746285605609</c:v>
                </c:pt>
                <c:pt idx="361">
                  <c:v>108.09169218086409</c:v>
                </c:pt>
                <c:pt idx="362">
                  <c:v>109.71606913504769</c:v>
                </c:pt>
                <c:pt idx="363">
                  <c:v>108.17957740356384</c:v>
                </c:pt>
                <c:pt idx="364">
                  <c:v>109.53888485598046</c:v>
                </c:pt>
                <c:pt idx="365">
                  <c:v>109.57326742230261</c:v>
                </c:pt>
                <c:pt idx="366">
                  <c:v>107.81281684712258</c:v>
                </c:pt>
                <c:pt idx="367">
                  <c:v>108.53257334777371</c:v>
                </c:pt>
                <c:pt idx="368">
                  <c:v>107.81178960247702</c:v>
                </c:pt>
                <c:pt idx="369">
                  <c:v>110.31595844193296</c:v>
                </c:pt>
                <c:pt idx="370">
                  <c:v>112.0735840139115</c:v>
                </c:pt>
                <c:pt idx="371">
                  <c:v>112.43663260774666</c:v>
                </c:pt>
                <c:pt idx="372">
                  <c:v>112.30093671156222</c:v>
                </c:pt>
                <c:pt idx="373">
                  <c:v>112.69573960492758</c:v>
                </c:pt>
                <c:pt idx="374">
                  <c:v>110.4189871289902</c:v>
                </c:pt>
                <c:pt idx="375">
                  <c:v>112.40620609755676</c:v>
                </c:pt>
                <c:pt idx="376">
                  <c:v>112.50475308305616</c:v>
                </c:pt>
                <c:pt idx="377">
                  <c:v>113.86934319698113</c:v>
                </c:pt>
                <c:pt idx="378">
                  <c:v>110.66770550538394</c:v>
                </c:pt>
                <c:pt idx="379">
                  <c:v>110.62576534693549</c:v>
                </c:pt>
                <c:pt idx="380">
                  <c:v>111.83988907333847</c:v>
                </c:pt>
                <c:pt idx="381">
                  <c:v>111.52336392747094</c:v>
                </c:pt>
                <c:pt idx="382">
                  <c:v>111.68724219037802</c:v>
                </c:pt>
                <c:pt idx="383">
                  <c:v>110.78238795428602</c:v>
                </c:pt>
                <c:pt idx="384">
                  <c:v>109.06860515035379</c:v>
                </c:pt>
                <c:pt idx="385">
                  <c:v>107.35695570739854</c:v>
                </c:pt>
                <c:pt idx="386">
                  <c:v>106.24680580011292</c:v>
                </c:pt>
                <c:pt idx="387">
                  <c:v>105.85626397047716</c:v>
                </c:pt>
                <c:pt idx="388">
                  <c:v>106.35114309148065</c:v>
                </c:pt>
                <c:pt idx="389">
                  <c:v>106.92622294011629</c:v>
                </c:pt>
                <c:pt idx="390">
                  <c:v>107.70887967201863</c:v>
                </c:pt>
                <c:pt idx="391">
                  <c:v>109.76032397498626</c:v>
                </c:pt>
                <c:pt idx="392">
                  <c:v>108.6740358708804</c:v>
                </c:pt>
                <c:pt idx="393">
                  <c:v>106.73995318329398</c:v>
                </c:pt>
                <c:pt idx="394">
                  <c:v>105.03358299791894</c:v>
                </c:pt>
                <c:pt idx="395">
                  <c:v>106.17995477865371</c:v>
                </c:pt>
                <c:pt idx="396">
                  <c:v>105.38520836002134</c:v>
                </c:pt>
                <c:pt idx="397">
                  <c:v>104.06582402034341</c:v>
                </c:pt>
                <c:pt idx="398">
                  <c:v>106.89259871241603</c:v>
                </c:pt>
                <c:pt idx="399">
                  <c:v>107.69489373191914</c:v>
                </c:pt>
                <c:pt idx="400">
                  <c:v>109.35877721928868</c:v>
                </c:pt>
                <c:pt idx="401">
                  <c:v>110.13175692300352</c:v>
                </c:pt>
                <c:pt idx="402">
                  <c:v>111.26989360243218</c:v>
                </c:pt>
                <c:pt idx="403">
                  <c:v>107.16927267440369</c:v>
                </c:pt>
                <c:pt idx="404">
                  <c:v>106.36109137953754</c:v>
                </c:pt>
                <c:pt idx="405">
                  <c:v>105.90021004834358</c:v>
                </c:pt>
                <c:pt idx="406">
                  <c:v>106.51492094268383</c:v>
                </c:pt>
                <c:pt idx="407">
                  <c:v>105.0003465334616</c:v>
                </c:pt>
                <c:pt idx="408">
                  <c:v>107.88857897714425</c:v>
                </c:pt>
                <c:pt idx="409">
                  <c:v>108.02164586253215</c:v>
                </c:pt>
                <c:pt idx="410">
                  <c:v>106.30830682688462</c:v>
                </c:pt>
                <c:pt idx="411">
                  <c:v>105.65520293793998</c:v>
                </c:pt>
                <c:pt idx="412">
                  <c:v>105.43299945329919</c:v>
                </c:pt>
                <c:pt idx="413">
                  <c:v>105.19281816996616</c:v>
                </c:pt>
                <c:pt idx="414">
                  <c:v>105.78392065712738</c:v>
                </c:pt>
                <c:pt idx="415">
                  <c:v>105.62352304251731</c:v>
                </c:pt>
                <c:pt idx="416">
                  <c:v>105.31195535972195</c:v>
                </c:pt>
                <c:pt idx="417">
                  <c:v>104.11636674872034</c:v>
                </c:pt>
                <c:pt idx="418">
                  <c:v>101.0357869133978</c:v>
                </c:pt>
                <c:pt idx="419">
                  <c:v>99.497935903570749</c:v>
                </c:pt>
                <c:pt idx="420">
                  <c:v>100.89264772859065</c:v>
                </c:pt>
                <c:pt idx="421">
                  <c:v>101.51570246198528</c:v>
                </c:pt>
                <c:pt idx="422">
                  <c:v>101.08903774547129</c:v>
                </c:pt>
                <c:pt idx="423">
                  <c:v>101.96297891624145</c:v>
                </c:pt>
                <c:pt idx="424">
                  <c:v>99.653002491289413</c:v>
                </c:pt>
                <c:pt idx="425">
                  <c:v>100.92664311588577</c:v>
                </c:pt>
                <c:pt idx="426">
                  <c:v>101.48569758223194</c:v>
                </c:pt>
                <c:pt idx="427">
                  <c:v>101.0166203789842</c:v>
                </c:pt>
                <c:pt idx="428">
                  <c:v>102.88172160680469</c:v>
                </c:pt>
                <c:pt idx="429">
                  <c:v>100.83826142955441</c:v>
                </c:pt>
                <c:pt idx="430">
                  <c:v>102.2744165780407</c:v>
                </c:pt>
                <c:pt idx="431">
                  <c:v>102.9654578207784</c:v>
                </c:pt>
                <c:pt idx="432">
                  <c:v>105.51563908264293</c:v>
                </c:pt>
                <c:pt idx="433">
                  <c:v>107.34865125502738</c:v>
                </c:pt>
                <c:pt idx="434">
                  <c:v>107.52551777310256</c:v>
                </c:pt>
                <c:pt idx="435">
                  <c:v>107.02471031357898</c:v>
                </c:pt>
                <c:pt idx="436">
                  <c:v>107.59746904053246</c:v>
                </c:pt>
                <c:pt idx="437">
                  <c:v>108.01475733735987</c:v>
                </c:pt>
                <c:pt idx="438">
                  <c:v>105.82259766671143</c:v>
                </c:pt>
                <c:pt idx="439">
                  <c:v>105.12884466055772</c:v>
                </c:pt>
                <c:pt idx="440">
                  <c:v>107.44584274394907</c:v>
                </c:pt>
                <c:pt idx="441">
                  <c:v>107.54929712254931</c:v>
                </c:pt>
                <c:pt idx="442">
                  <c:v>105.49424705470956</c:v>
                </c:pt>
                <c:pt idx="443">
                  <c:v>107.76307189816977</c:v>
                </c:pt>
                <c:pt idx="444">
                  <c:v>109.27847291157917</c:v>
                </c:pt>
                <c:pt idx="445">
                  <c:v>109.92487617768465</c:v>
                </c:pt>
                <c:pt idx="446">
                  <c:v>109.29650704471476</c:v>
                </c:pt>
                <c:pt idx="447">
                  <c:v>106.76870846197751</c:v>
                </c:pt>
                <c:pt idx="448">
                  <c:v>105.39921170850947</c:v>
                </c:pt>
                <c:pt idx="449">
                  <c:v>104.40777653569405</c:v>
                </c:pt>
                <c:pt idx="450">
                  <c:v>103.96107339173638</c:v>
                </c:pt>
                <c:pt idx="451">
                  <c:v>104.12695528393344</c:v>
                </c:pt>
                <c:pt idx="452">
                  <c:v>102.30950959941256</c:v>
                </c:pt>
                <c:pt idx="453">
                  <c:v>103.17473586820839</c:v>
                </c:pt>
                <c:pt idx="454">
                  <c:v>103.59049209503344</c:v>
                </c:pt>
                <c:pt idx="455">
                  <c:v>103.00574163326364</c:v>
                </c:pt>
                <c:pt idx="456">
                  <c:v>103.82563287403012</c:v>
                </c:pt>
                <c:pt idx="457">
                  <c:v>105.60673754255309</c:v>
                </c:pt>
                <c:pt idx="458">
                  <c:v>103.25503059563617</c:v>
                </c:pt>
                <c:pt idx="459">
                  <c:v>105.0613475342598</c:v>
                </c:pt>
                <c:pt idx="460">
                  <c:v>104.23229476239838</c:v>
                </c:pt>
                <c:pt idx="461">
                  <c:v>103.00198943939797</c:v>
                </c:pt>
                <c:pt idx="462">
                  <c:v>102.54786606596821</c:v>
                </c:pt>
                <c:pt idx="463">
                  <c:v>103.87146720456735</c:v>
                </c:pt>
                <c:pt idx="464">
                  <c:v>104.22863514230598</c:v>
                </c:pt>
                <c:pt idx="465">
                  <c:v>106.21313871329767</c:v>
                </c:pt>
                <c:pt idx="466">
                  <c:v>106.63993286601814</c:v>
                </c:pt>
                <c:pt idx="467">
                  <c:v>104.86722881108197</c:v>
                </c:pt>
                <c:pt idx="468">
                  <c:v>105.37233873990087</c:v>
                </c:pt>
                <c:pt idx="469">
                  <c:v>106.52908824991218</c:v>
                </c:pt>
                <c:pt idx="470">
                  <c:v>106.88134223926264</c:v>
                </c:pt>
                <c:pt idx="471">
                  <c:v>104.6660336342121</c:v>
                </c:pt>
                <c:pt idx="472">
                  <c:v>104.6968545550663</c:v>
                </c:pt>
                <c:pt idx="473">
                  <c:v>102.81239130705391</c:v>
                </c:pt>
                <c:pt idx="474">
                  <c:v>104.06166693185492</c:v>
                </c:pt>
                <c:pt idx="475">
                  <c:v>103.87003443333151</c:v>
                </c:pt>
                <c:pt idx="476">
                  <c:v>105.39511886541629</c:v>
                </c:pt>
                <c:pt idx="477">
                  <c:v>104.57527474412483</c:v>
                </c:pt>
                <c:pt idx="478">
                  <c:v>106.55521794770056</c:v>
                </c:pt>
                <c:pt idx="479">
                  <c:v>107.96036076954368</c:v>
                </c:pt>
                <c:pt idx="480">
                  <c:v>108.62731975880217</c:v>
                </c:pt>
                <c:pt idx="481">
                  <c:v>107.77667207757216</c:v>
                </c:pt>
                <c:pt idx="482">
                  <c:v>107.15566549513429</c:v>
                </c:pt>
                <c:pt idx="483">
                  <c:v>106.2306900215974</c:v>
                </c:pt>
                <c:pt idx="484">
                  <c:v>108.36239127548609</c:v>
                </c:pt>
                <c:pt idx="485">
                  <c:v>109.28520182088064</c:v>
                </c:pt>
                <c:pt idx="486">
                  <c:v>108.9600082728757</c:v>
                </c:pt>
                <c:pt idx="487">
                  <c:v>111.34275769170254</c:v>
                </c:pt>
                <c:pt idx="488">
                  <c:v>113.27381885945674</c:v>
                </c:pt>
                <c:pt idx="489">
                  <c:v>112.55562375030519</c:v>
                </c:pt>
                <c:pt idx="490">
                  <c:v>113.15324481830258</c:v>
                </c:pt>
                <c:pt idx="491">
                  <c:v>112.60886449454455</c:v>
                </c:pt>
                <c:pt idx="492">
                  <c:v>113.35001899919408</c:v>
                </c:pt>
                <c:pt idx="493">
                  <c:v>114.77448220078081</c:v>
                </c:pt>
                <c:pt idx="494">
                  <c:v>112.22485509946318</c:v>
                </c:pt>
                <c:pt idx="495">
                  <c:v>113.0627914856311</c:v>
                </c:pt>
                <c:pt idx="496">
                  <c:v>112.17793978187306</c:v>
                </c:pt>
                <c:pt idx="497">
                  <c:v>111.42893071656029</c:v>
                </c:pt>
                <c:pt idx="498">
                  <c:v>111.24206997080236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E1-4AA2-9822-C496715C7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6505656"/>
        <c:axId val="666507952"/>
      </c:lineChart>
      <c:catAx>
        <c:axId val="666505656"/>
        <c:scaling>
          <c:orientation val="minMax"/>
        </c:scaling>
        <c:delete val="0"/>
        <c:axPos val="b"/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507952"/>
        <c:crosses val="autoZero"/>
        <c:auto val="1"/>
        <c:lblAlgn val="ctr"/>
        <c:lblOffset val="100"/>
        <c:noMultiLvlLbl val="0"/>
      </c:catAx>
      <c:valAx>
        <c:axId val="66650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505656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Worst</a:t>
            </a:r>
            <a:r>
              <a:rPr lang="en-US" baseline="0"/>
              <a:t> Of C</a:t>
            </a:r>
            <a:r>
              <a:rPr lang="en-US"/>
              <a:t>hart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Sheet1!$N$12:$N$510</c:f>
              <c:numCache>
                <c:formatCode>General</c:formatCode>
                <c:ptCount val="499"/>
                <c:pt idx="0">
                  <c:v>0</c:v>
                </c:pt>
                <c:pt idx="1">
                  <c:v>4.1666666666666666E-3</c:v>
                </c:pt>
                <c:pt idx="2">
                  <c:v>8.3333333333333332E-3</c:v>
                </c:pt>
                <c:pt idx="3">
                  <c:v>1.2500000000000001E-2</c:v>
                </c:pt>
                <c:pt idx="4">
                  <c:v>1.6666666666666666E-2</c:v>
                </c:pt>
                <c:pt idx="5">
                  <c:v>2.0833333333333332E-2</c:v>
                </c:pt>
                <c:pt idx="6">
                  <c:v>2.4999999999999998E-2</c:v>
                </c:pt>
                <c:pt idx="7">
                  <c:v>2.9166666666666664E-2</c:v>
                </c:pt>
                <c:pt idx="8">
                  <c:v>3.3333333333333333E-2</c:v>
                </c:pt>
                <c:pt idx="9">
                  <c:v>3.7499999999999999E-2</c:v>
                </c:pt>
                <c:pt idx="10">
                  <c:v>4.1666666666666664E-2</c:v>
                </c:pt>
                <c:pt idx="11">
                  <c:v>4.583333333333333E-2</c:v>
                </c:pt>
                <c:pt idx="12">
                  <c:v>4.9999999999999996E-2</c:v>
                </c:pt>
                <c:pt idx="13">
                  <c:v>5.4166666666666662E-2</c:v>
                </c:pt>
                <c:pt idx="14">
                  <c:v>5.8333333333333327E-2</c:v>
                </c:pt>
                <c:pt idx="15">
                  <c:v>6.2499999999999993E-2</c:v>
                </c:pt>
                <c:pt idx="16">
                  <c:v>6.6666666666666666E-2</c:v>
                </c:pt>
                <c:pt idx="17">
                  <c:v>7.0833333333333331E-2</c:v>
                </c:pt>
                <c:pt idx="18">
                  <c:v>7.4999999999999997E-2</c:v>
                </c:pt>
                <c:pt idx="19">
                  <c:v>7.9166666666666663E-2</c:v>
                </c:pt>
                <c:pt idx="20">
                  <c:v>8.3333333333333329E-2</c:v>
                </c:pt>
                <c:pt idx="21">
                  <c:v>8.7499999999999994E-2</c:v>
                </c:pt>
                <c:pt idx="22">
                  <c:v>9.166666666666666E-2</c:v>
                </c:pt>
                <c:pt idx="23">
                  <c:v>9.5833333333333326E-2</c:v>
                </c:pt>
                <c:pt idx="24">
                  <c:v>9.9999999999999992E-2</c:v>
                </c:pt>
                <c:pt idx="25">
                  <c:v>0.10416666666666666</c:v>
                </c:pt>
                <c:pt idx="26">
                  <c:v>0.10833333333333332</c:v>
                </c:pt>
                <c:pt idx="27">
                  <c:v>0.11249999999999999</c:v>
                </c:pt>
                <c:pt idx="28">
                  <c:v>0.11666666666666665</c:v>
                </c:pt>
                <c:pt idx="29">
                  <c:v>0.12083333333333332</c:v>
                </c:pt>
                <c:pt idx="30">
                  <c:v>0.12499999999999999</c:v>
                </c:pt>
                <c:pt idx="31">
                  <c:v>0.12916666666666665</c:v>
                </c:pt>
                <c:pt idx="32">
                  <c:v>0.13333333333333333</c:v>
                </c:pt>
                <c:pt idx="33">
                  <c:v>0.13750000000000001</c:v>
                </c:pt>
                <c:pt idx="34">
                  <c:v>0.14166666666666669</c:v>
                </c:pt>
                <c:pt idx="35">
                  <c:v>0.14583333333333337</c:v>
                </c:pt>
                <c:pt idx="36">
                  <c:v>0.15000000000000005</c:v>
                </c:pt>
                <c:pt idx="37">
                  <c:v>0.15416666666666673</c:v>
                </c:pt>
                <c:pt idx="38">
                  <c:v>0.15833333333333341</c:v>
                </c:pt>
                <c:pt idx="39">
                  <c:v>0.16250000000000009</c:v>
                </c:pt>
                <c:pt idx="40">
                  <c:v>0.16666666666666677</c:v>
                </c:pt>
                <c:pt idx="41">
                  <c:v>0.17083333333333345</c:v>
                </c:pt>
                <c:pt idx="42">
                  <c:v>0.17500000000000013</c:v>
                </c:pt>
                <c:pt idx="43">
                  <c:v>0.17916666666666681</c:v>
                </c:pt>
                <c:pt idx="44">
                  <c:v>0.18333333333333349</c:v>
                </c:pt>
                <c:pt idx="45">
                  <c:v>0.18750000000000017</c:v>
                </c:pt>
                <c:pt idx="46">
                  <c:v>0.19166666666666685</c:v>
                </c:pt>
                <c:pt idx="47">
                  <c:v>0.19583333333333353</c:v>
                </c:pt>
                <c:pt idx="48">
                  <c:v>0.20000000000000021</c:v>
                </c:pt>
                <c:pt idx="49">
                  <c:v>0.20416666666666689</c:v>
                </c:pt>
                <c:pt idx="50">
                  <c:v>0.20833333333333356</c:v>
                </c:pt>
                <c:pt idx="51">
                  <c:v>0.21250000000000024</c:v>
                </c:pt>
                <c:pt idx="52">
                  <c:v>0.21666666666666692</c:v>
                </c:pt>
                <c:pt idx="53">
                  <c:v>0.2208333333333336</c:v>
                </c:pt>
                <c:pt idx="54">
                  <c:v>0.22500000000000028</c:v>
                </c:pt>
                <c:pt idx="55">
                  <c:v>0.22916666666666696</c:v>
                </c:pt>
                <c:pt idx="56">
                  <c:v>0.23333333333333364</c:v>
                </c:pt>
                <c:pt idx="57">
                  <c:v>0.23750000000000032</c:v>
                </c:pt>
                <c:pt idx="58">
                  <c:v>0.241666666666667</c:v>
                </c:pt>
                <c:pt idx="59">
                  <c:v>0.24583333333333368</c:v>
                </c:pt>
                <c:pt idx="60">
                  <c:v>0.25000000000000033</c:v>
                </c:pt>
                <c:pt idx="61">
                  <c:v>0.25416666666666698</c:v>
                </c:pt>
                <c:pt idx="62">
                  <c:v>0.25833333333333364</c:v>
                </c:pt>
                <c:pt idx="63">
                  <c:v>0.26250000000000029</c:v>
                </c:pt>
                <c:pt idx="64">
                  <c:v>0.26666666666666694</c:v>
                </c:pt>
                <c:pt idx="65">
                  <c:v>0.27083333333333359</c:v>
                </c:pt>
                <c:pt idx="66">
                  <c:v>0.27500000000000024</c:v>
                </c:pt>
                <c:pt idx="67">
                  <c:v>0.2791666666666669</c:v>
                </c:pt>
                <c:pt idx="68">
                  <c:v>0.28333333333333355</c:v>
                </c:pt>
                <c:pt idx="69">
                  <c:v>0.2875000000000002</c:v>
                </c:pt>
                <c:pt idx="70">
                  <c:v>0.29166666666666685</c:v>
                </c:pt>
                <c:pt idx="71">
                  <c:v>0.2958333333333335</c:v>
                </c:pt>
                <c:pt idx="72">
                  <c:v>0.30000000000000016</c:v>
                </c:pt>
                <c:pt idx="73">
                  <c:v>0.30416666666666681</c:v>
                </c:pt>
                <c:pt idx="74">
                  <c:v>0.30833333333333346</c:v>
                </c:pt>
                <c:pt idx="75">
                  <c:v>0.31250000000000011</c:v>
                </c:pt>
                <c:pt idx="76">
                  <c:v>0.31666666666666676</c:v>
                </c:pt>
                <c:pt idx="77">
                  <c:v>0.32083333333333341</c:v>
                </c:pt>
                <c:pt idx="78">
                  <c:v>0.32500000000000007</c:v>
                </c:pt>
                <c:pt idx="79">
                  <c:v>0.32916666666666672</c:v>
                </c:pt>
                <c:pt idx="80">
                  <c:v>0.33333333333333337</c:v>
                </c:pt>
                <c:pt idx="81">
                  <c:v>0.33750000000000002</c:v>
                </c:pt>
                <c:pt idx="82">
                  <c:v>0.34166666666666667</c:v>
                </c:pt>
                <c:pt idx="83">
                  <c:v>0.34583333333333333</c:v>
                </c:pt>
                <c:pt idx="84">
                  <c:v>0.35</c:v>
                </c:pt>
                <c:pt idx="85">
                  <c:v>0.35416666666666663</c:v>
                </c:pt>
                <c:pt idx="86">
                  <c:v>0.35833333333333328</c:v>
                </c:pt>
                <c:pt idx="87">
                  <c:v>0.36249999999999993</c:v>
                </c:pt>
                <c:pt idx="88">
                  <c:v>0.36666666666666659</c:v>
                </c:pt>
                <c:pt idx="89">
                  <c:v>0.37083333333333324</c:v>
                </c:pt>
                <c:pt idx="90">
                  <c:v>0.37499999999999989</c:v>
                </c:pt>
                <c:pt idx="91">
                  <c:v>0.37916666666666654</c:v>
                </c:pt>
                <c:pt idx="92">
                  <c:v>0.38333333333333319</c:v>
                </c:pt>
                <c:pt idx="93">
                  <c:v>0.38749999999999984</c:v>
                </c:pt>
                <c:pt idx="94">
                  <c:v>0.3916666666666665</c:v>
                </c:pt>
                <c:pt idx="95">
                  <c:v>0.39583333333333315</c:v>
                </c:pt>
                <c:pt idx="96">
                  <c:v>0.3999999999999998</c:v>
                </c:pt>
                <c:pt idx="97">
                  <c:v>0.40416666666666645</c:v>
                </c:pt>
                <c:pt idx="98">
                  <c:v>0.4083333333333331</c:v>
                </c:pt>
                <c:pt idx="99">
                  <c:v>0.41249999999999976</c:v>
                </c:pt>
                <c:pt idx="100">
                  <c:v>0.41666666666666641</c:v>
                </c:pt>
                <c:pt idx="101">
                  <c:v>0.42083333333333306</c:v>
                </c:pt>
                <c:pt idx="102">
                  <c:v>0.42499999999999971</c:v>
                </c:pt>
                <c:pt idx="103">
                  <c:v>0.42916666666666636</c:v>
                </c:pt>
                <c:pt idx="104">
                  <c:v>0.43333333333333302</c:v>
                </c:pt>
                <c:pt idx="105">
                  <c:v>0.43749999999999967</c:v>
                </c:pt>
                <c:pt idx="106">
                  <c:v>0.44166666666666632</c:v>
                </c:pt>
                <c:pt idx="107">
                  <c:v>0.44583333333333297</c:v>
                </c:pt>
                <c:pt idx="108">
                  <c:v>0.44999999999999962</c:v>
                </c:pt>
                <c:pt idx="109">
                  <c:v>0.45416666666666627</c:v>
                </c:pt>
                <c:pt idx="110">
                  <c:v>0.45833333333333293</c:v>
                </c:pt>
                <c:pt idx="111">
                  <c:v>0.46249999999999958</c:v>
                </c:pt>
                <c:pt idx="112">
                  <c:v>0.46666666666666623</c:v>
                </c:pt>
                <c:pt idx="113">
                  <c:v>0.47083333333333288</c:v>
                </c:pt>
                <c:pt idx="114">
                  <c:v>0.47499999999999953</c:v>
                </c:pt>
                <c:pt idx="115">
                  <c:v>0.47916666666666619</c:v>
                </c:pt>
                <c:pt idx="116">
                  <c:v>0.48333333333333284</c:v>
                </c:pt>
                <c:pt idx="117">
                  <c:v>0.48749999999999949</c:v>
                </c:pt>
                <c:pt idx="118">
                  <c:v>0.49166666666666614</c:v>
                </c:pt>
                <c:pt idx="119">
                  <c:v>0.49583333333333279</c:v>
                </c:pt>
                <c:pt idx="120">
                  <c:v>0.49999999999999944</c:v>
                </c:pt>
                <c:pt idx="121">
                  <c:v>0.5041666666666661</c:v>
                </c:pt>
                <c:pt idx="122">
                  <c:v>0.50833333333333275</c:v>
                </c:pt>
                <c:pt idx="123">
                  <c:v>0.5124999999999994</c:v>
                </c:pt>
                <c:pt idx="124">
                  <c:v>0.51666666666666605</c:v>
                </c:pt>
                <c:pt idx="125">
                  <c:v>0.5208333333333327</c:v>
                </c:pt>
                <c:pt idx="126">
                  <c:v>0.52499999999999936</c:v>
                </c:pt>
                <c:pt idx="127">
                  <c:v>0.52916666666666601</c:v>
                </c:pt>
                <c:pt idx="128">
                  <c:v>0.53333333333333266</c:v>
                </c:pt>
                <c:pt idx="129">
                  <c:v>0.53749999999999931</c:v>
                </c:pt>
                <c:pt idx="130">
                  <c:v>0.54166666666666596</c:v>
                </c:pt>
                <c:pt idx="131">
                  <c:v>0.54583333333333262</c:v>
                </c:pt>
                <c:pt idx="132">
                  <c:v>0.54999999999999927</c:v>
                </c:pt>
                <c:pt idx="133">
                  <c:v>0.55416666666666592</c:v>
                </c:pt>
                <c:pt idx="134">
                  <c:v>0.55833333333333257</c:v>
                </c:pt>
                <c:pt idx="135">
                  <c:v>0.56249999999999922</c:v>
                </c:pt>
                <c:pt idx="136">
                  <c:v>0.56666666666666587</c:v>
                </c:pt>
                <c:pt idx="137">
                  <c:v>0.57083333333333253</c:v>
                </c:pt>
                <c:pt idx="138">
                  <c:v>0.57499999999999918</c:v>
                </c:pt>
                <c:pt idx="139">
                  <c:v>0.57916666666666583</c:v>
                </c:pt>
                <c:pt idx="140">
                  <c:v>0.58333333333333248</c:v>
                </c:pt>
                <c:pt idx="141">
                  <c:v>0.58749999999999913</c:v>
                </c:pt>
                <c:pt idx="142">
                  <c:v>0.59166666666666579</c:v>
                </c:pt>
                <c:pt idx="143">
                  <c:v>0.59583333333333244</c:v>
                </c:pt>
                <c:pt idx="144">
                  <c:v>0.59999999999999909</c:v>
                </c:pt>
                <c:pt idx="145">
                  <c:v>0.60416666666666574</c:v>
                </c:pt>
                <c:pt idx="146">
                  <c:v>0.60833333333333239</c:v>
                </c:pt>
                <c:pt idx="147">
                  <c:v>0.61249999999999905</c:v>
                </c:pt>
                <c:pt idx="148">
                  <c:v>0.6166666666666657</c:v>
                </c:pt>
                <c:pt idx="149">
                  <c:v>0.62083333333333235</c:v>
                </c:pt>
                <c:pt idx="150">
                  <c:v>0.624999999999999</c:v>
                </c:pt>
                <c:pt idx="151">
                  <c:v>0.62916666666666565</c:v>
                </c:pt>
                <c:pt idx="152">
                  <c:v>0.6333333333333323</c:v>
                </c:pt>
                <c:pt idx="153">
                  <c:v>0.63749999999999896</c:v>
                </c:pt>
                <c:pt idx="154">
                  <c:v>0.64166666666666561</c:v>
                </c:pt>
                <c:pt idx="155">
                  <c:v>0.64583333333333226</c:v>
                </c:pt>
                <c:pt idx="156">
                  <c:v>0.64999999999999891</c:v>
                </c:pt>
                <c:pt idx="157">
                  <c:v>0.65416666666666556</c:v>
                </c:pt>
                <c:pt idx="158">
                  <c:v>0.65833333333333222</c:v>
                </c:pt>
                <c:pt idx="159">
                  <c:v>0.66249999999999887</c:v>
                </c:pt>
                <c:pt idx="160">
                  <c:v>0.66666666666666552</c:v>
                </c:pt>
                <c:pt idx="161">
                  <c:v>0.67083333333333217</c:v>
                </c:pt>
                <c:pt idx="162">
                  <c:v>0.67499999999999882</c:v>
                </c:pt>
                <c:pt idx="163">
                  <c:v>0.67916666666666548</c:v>
                </c:pt>
                <c:pt idx="164">
                  <c:v>0.68333333333333213</c:v>
                </c:pt>
                <c:pt idx="165">
                  <c:v>0.68749999999999878</c:v>
                </c:pt>
                <c:pt idx="166">
                  <c:v>0.69166666666666543</c:v>
                </c:pt>
                <c:pt idx="167">
                  <c:v>0.69583333333333208</c:v>
                </c:pt>
                <c:pt idx="168">
                  <c:v>0.69999999999999873</c:v>
                </c:pt>
                <c:pt idx="169">
                  <c:v>0.70416666666666539</c:v>
                </c:pt>
                <c:pt idx="170">
                  <c:v>0.70833333333333204</c:v>
                </c:pt>
                <c:pt idx="171">
                  <c:v>0.71249999999999869</c:v>
                </c:pt>
                <c:pt idx="172">
                  <c:v>0.71666666666666534</c:v>
                </c:pt>
                <c:pt idx="173">
                  <c:v>0.72083333333333199</c:v>
                </c:pt>
                <c:pt idx="174">
                  <c:v>0.72499999999999865</c:v>
                </c:pt>
                <c:pt idx="175">
                  <c:v>0.7291666666666653</c:v>
                </c:pt>
                <c:pt idx="176">
                  <c:v>0.73333333333333195</c:v>
                </c:pt>
                <c:pt idx="177">
                  <c:v>0.7374999999999986</c:v>
                </c:pt>
                <c:pt idx="178">
                  <c:v>0.74166666666666525</c:v>
                </c:pt>
                <c:pt idx="179">
                  <c:v>0.7458333333333319</c:v>
                </c:pt>
                <c:pt idx="180">
                  <c:v>0.74999999999999856</c:v>
                </c:pt>
                <c:pt idx="181">
                  <c:v>0.75416666666666521</c:v>
                </c:pt>
                <c:pt idx="182">
                  <c:v>0.75833333333333186</c:v>
                </c:pt>
                <c:pt idx="183">
                  <c:v>0.76249999999999851</c:v>
                </c:pt>
                <c:pt idx="184">
                  <c:v>0.76666666666666516</c:v>
                </c:pt>
                <c:pt idx="185">
                  <c:v>0.77083333333333182</c:v>
                </c:pt>
                <c:pt idx="186">
                  <c:v>0.77499999999999847</c:v>
                </c:pt>
                <c:pt idx="187">
                  <c:v>0.77916666666666512</c:v>
                </c:pt>
                <c:pt idx="188">
                  <c:v>0.78333333333333177</c:v>
                </c:pt>
                <c:pt idx="189">
                  <c:v>0.78749999999999842</c:v>
                </c:pt>
                <c:pt idx="190">
                  <c:v>0.79166666666666508</c:v>
                </c:pt>
                <c:pt idx="191">
                  <c:v>0.79583333333333173</c:v>
                </c:pt>
                <c:pt idx="192">
                  <c:v>0.79999999999999838</c:v>
                </c:pt>
                <c:pt idx="193">
                  <c:v>0.80416666666666503</c:v>
                </c:pt>
                <c:pt idx="194">
                  <c:v>0.80833333333333168</c:v>
                </c:pt>
                <c:pt idx="195">
                  <c:v>0.81249999999999833</c:v>
                </c:pt>
                <c:pt idx="196">
                  <c:v>0.81666666666666499</c:v>
                </c:pt>
                <c:pt idx="197">
                  <c:v>0.82083333333333164</c:v>
                </c:pt>
                <c:pt idx="198">
                  <c:v>0.82499999999999829</c:v>
                </c:pt>
                <c:pt idx="199">
                  <c:v>0.82916666666666494</c:v>
                </c:pt>
                <c:pt idx="200">
                  <c:v>0.83333333333333159</c:v>
                </c:pt>
                <c:pt idx="201">
                  <c:v>0.83749999999999825</c:v>
                </c:pt>
                <c:pt idx="202">
                  <c:v>0.8416666666666649</c:v>
                </c:pt>
                <c:pt idx="203">
                  <c:v>0.84583333333333155</c:v>
                </c:pt>
                <c:pt idx="204">
                  <c:v>0.8499999999999982</c:v>
                </c:pt>
                <c:pt idx="205">
                  <c:v>0.85416666666666485</c:v>
                </c:pt>
                <c:pt idx="206">
                  <c:v>0.85833333333333151</c:v>
                </c:pt>
                <c:pt idx="207">
                  <c:v>0.86249999999999816</c:v>
                </c:pt>
                <c:pt idx="208">
                  <c:v>0.86666666666666481</c:v>
                </c:pt>
                <c:pt idx="209">
                  <c:v>0.87083333333333146</c:v>
                </c:pt>
                <c:pt idx="210">
                  <c:v>0.87499999999999811</c:v>
                </c:pt>
                <c:pt idx="211">
                  <c:v>0.87916666666666476</c:v>
                </c:pt>
                <c:pt idx="212">
                  <c:v>0.88333333333333142</c:v>
                </c:pt>
                <c:pt idx="213">
                  <c:v>0.88749999999999807</c:v>
                </c:pt>
                <c:pt idx="214">
                  <c:v>0.89166666666666472</c:v>
                </c:pt>
                <c:pt idx="215">
                  <c:v>0.89583333333333137</c:v>
                </c:pt>
                <c:pt idx="216">
                  <c:v>0.89999999999999802</c:v>
                </c:pt>
                <c:pt idx="217">
                  <c:v>0.90416666666666468</c:v>
                </c:pt>
                <c:pt idx="218">
                  <c:v>0.90833333333333133</c:v>
                </c:pt>
                <c:pt idx="219">
                  <c:v>0.91249999999999798</c:v>
                </c:pt>
                <c:pt idx="220">
                  <c:v>0.91666666666666463</c:v>
                </c:pt>
                <c:pt idx="221">
                  <c:v>0.92083333333333128</c:v>
                </c:pt>
                <c:pt idx="222">
                  <c:v>0.92499999999999793</c:v>
                </c:pt>
                <c:pt idx="223">
                  <c:v>0.92916666666666459</c:v>
                </c:pt>
                <c:pt idx="224">
                  <c:v>0.93333333333333124</c:v>
                </c:pt>
                <c:pt idx="225">
                  <c:v>0.93749999999999789</c:v>
                </c:pt>
                <c:pt idx="226">
                  <c:v>0.94166666666666454</c:v>
                </c:pt>
                <c:pt idx="227">
                  <c:v>0.94583333333333119</c:v>
                </c:pt>
                <c:pt idx="228">
                  <c:v>0.94999999999999785</c:v>
                </c:pt>
                <c:pt idx="229">
                  <c:v>0.9541666666666645</c:v>
                </c:pt>
                <c:pt idx="230">
                  <c:v>0.95833333333333115</c:v>
                </c:pt>
                <c:pt idx="231">
                  <c:v>0.9624999999999978</c:v>
                </c:pt>
                <c:pt idx="232">
                  <c:v>0.96666666666666445</c:v>
                </c:pt>
                <c:pt idx="233">
                  <c:v>0.97083333333333111</c:v>
                </c:pt>
                <c:pt idx="234">
                  <c:v>0.97499999999999776</c:v>
                </c:pt>
                <c:pt idx="235">
                  <c:v>0.97916666666666441</c:v>
                </c:pt>
                <c:pt idx="236">
                  <c:v>0.98333333333333106</c:v>
                </c:pt>
                <c:pt idx="237">
                  <c:v>0.98749999999999771</c:v>
                </c:pt>
                <c:pt idx="238">
                  <c:v>0.99166666666666436</c:v>
                </c:pt>
                <c:pt idx="239">
                  <c:v>0.99583333333333102</c:v>
                </c:pt>
                <c:pt idx="240">
                  <c:v>0.99999999999999767</c:v>
                </c:pt>
                <c:pt idx="241">
                  <c:v>1.0041666666666644</c:v>
                </c:pt>
                <c:pt idx="242">
                  <c:v>1.0083333333333311</c:v>
                </c:pt>
                <c:pt idx="243">
                  <c:v>1.0124999999999977</c:v>
                </c:pt>
                <c:pt idx="244">
                  <c:v>1.0166666666666644</c:v>
                </c:pt>
                <c:pt idx="245">
                  <c:v>1.020833333333331</c:v>
                </c:pt>
                <c:pt idx="246">
                  <c:v>1.0249999999999977</c:v>
                </c:pt>
                <c:pt idx="247">
                  <c:v>1.0291666666666643</c:v>
                </c:pt>
                <c:pt idx="248">
                  <c:v>1.033333333333331</c:v>
                </c:pt>
                <c:pt idx="249">
                  <c:v>1.0374999999999976</c:v>
                </c:pt>
                <c:pt idx="250">
                  <c:v>1.0416666666666643</c:v>
                </c:pt>
                <c:pt idx="251">
                  <c:v>1.045833333333331</c:v>
                </c:pt>
                <c:pt idx="252">
                  <c:v>1.0499999999999976</c:v>
                </c:pt>
                <c:pt idx="253">
                  <c:v>1.0541666666666643</c:v>
                </c:pt>
                <c:pt idx="254">
                  <c:v>1.0583333333333309</c:v>
                </c:pt>
                <c:pt idx="255">
                  <c:v>1.0624999999999976</c:v>
                </c:pt>
                <c:pt idx="256">
                  <c:v>1.0666666666666642</c:v>
                </c:pt>
                <c:pt idx="257">
                  <c:v>1.0708333333333309</c:v>
                </c:pt>
                <c:pt idx="258">
                  <c:v>1.0749999999999975</c:v>
                </c:pt>
                <c:pt idx="259">
                  <c:v>1.0791666666666642</c:v>
                </c:pt>
                <c:pt idx="260">
                  <c:v>1.0833333333333308</c:v>
                </c:pt>
                <c:pt idx="261">
                  <c:v>1.0874999999999975</c:v>
                </c:pt>
                <c:pt idx="262">
                  <c:v>1.0916666666666641</c:v>
                </c:pt>
                <c:pt idx="263">
                  <c:v>1.0958333333333308</c:v>
                </c:pt>
                <c:pt idx="264">
                  <c:v>1.0999999999999974</c:v>
                </c:pt>
                <c:pt idx="265">
                  <c:v>1.1041666666666641</c:v>
                </c:pt>
                <c:pt idx="266">
                  <c:v>1.1083333333333307</c:v>
                </c:pt>
                <c:pt idx="267">
                  <c:v>1.1124999999999974</c:v>
                </c:pt>
                <c:pt idx="268">
                  <c:v>1.116666666666664</c:v>
                </c:pt>
                <c:pt idx="269">
                  <c:v>1.1208333333333307</c:v>
                </c:pt>
                <c:pt idx="270">
                  <c:v>1.1249999999999973</c:v>
                </c:pt>
                <c:pt idx="271">
                  <c:v>1.129166666666664</c:v>
                </c:pt>
                <c:pt idx="272">
                  <c:v>1.1333333333333306</c:v>
                </c:pt>
                <c:pt idx="273">
                  <c:v>1.1374999999999973</c:v>
                </c:pt>
                <c:pt idx="274">
                  <c:v>1.1416666666666639</c:v>
                </c:pt>
                <c:pt idx="275">
                  <c:v>1.1458333333333306</c:v>
                </c:pt>
                <c:pt idx="276">
                  <c:v>1.1499999999999972</c:v>
                </c:pt>
                <c:pt idx="277">
                  <c:v>1.1541666666666639</c:v>
                </c:pt>
                <c:pt idx="278">
                  <c:v>1.1583333333333306</c:v>
                </c:pt>
                <c:pt idx="279">
                  <c:v>1.1624999999999972</c:v>
                </c:pt>
                <c:pt idx="280">
                  <c:v>1.1666666666666639</c:v>
                </c:pt>
                <c:pt idx="281">
                  <c:v>1.1708333333333305</c:v>
                </c:pt>
                <c:pt idx="282">
                  <c:v>1.1749999999999972</c:v>
                </c:pt>
                <c:pt idx="283">
                  <c:v>1.1791666666666638</c:v>
                </c:pt>
                <c:pt idx="284">
                  <c:v>1.1833333333333305</c:v>
                </c:pt>
                <c:pt idx="285">
                  <c:v>1.1874999999999971</c:v>
                </c:pt>
                <c:pt idx="286">
                  <c:v>1.1916666666666638</c:v>
                </c:pt>
                <c:pt idx="287">
                  <c:v>1.1958333333333304</c:v>
                </c:pt>
                <c:pt idx="288">
                  <c:v>1.1999999999999971</c:v>
                </c:pt>
                <c:pt idx="289">
                  <c:v>1.2041666666666637</c:v>
                </c:pt>
                <c:pt idx="290">
                  <c:v>1.2083333333333304</c:v>
                </c:pt>
                <c:pt idx="291">
                  <c:v>1.212499999999997</c:v>
                </c:pt>
                <c:pt idx="292">
                  <c:v>1.2166666666666637</c:v>
                </c:pt>
                <c:pt idx="293">
                  <c:v>1.2208333333333303</c:v>
                </c:pt>
                <c:pt idx="294">
                  <c:v>1.224999999999997</c:v>
                </c:pt>
                <c:pt idx="295">
                  <c:v>1.2291666666666636</c:v>
                </c:pt>
                <c:pt idx="296">
                  <c:v>1.2333333333333303</c:v>
                </c:pt>
                <c:pt idx="297">
                  <c:v>1.2374999999999969</c:v>
                </c:pt>
                <c:pt idx="298">
                  <c:v>1.2416666666666636</c:v>
                </c:pt>
                <c:pt idx="299">
                  <c:v>1.2458333333333302</c:v>
                </c:pt>
                <c:pt idx="300">
                  <c:v>1.2499999999999969</c:v>
                </c:pt>
                <c:pt idx="301">
                  <c:v>1.2541666666666635</c:v>
                </c:pt>
                <c:pt idx="302">
                  <c:v>1.2583333333333302</c:v>
                </c:pt>
                <c:pt idx="303">
                  <c:v>1.2624999999999968</c:v>
                </c:pt>
                <c:pt idx="304">
                  <c:v>1.2666666666666635</c:v>
                </c:pt>
                <c:pt idx="305">
                  <c:v>1.2708333333333302</c:v>
                </c:pt>
                <c:pt idx="306">
                  <c:v>1.2749999999999968</c:v>
                </c:pt>
                <c:pt idx="307">
                  <c:v>1.2791666666666635</c:v>
                </c:pt>
                <c:pt idx="308">
                  <c:v>1.2833333333333301</c:v>
                </c:pt>
                <c:pt idx="309">
                  <c:v>1.2874999999999968</c:v>
                </c:pt>
                <c:pt idx="310">
                  <c:v>1.2916666666666634</c:v>
                </c:pt>
                <c:pt idx="311">
                  <c:v>1.2958333333333301</c:v>
                </c:pt>
                <c:pt idx="312">
                  <c:v>1.2999999999999967</c:v>
                </c:pt>
                <c:pt idx="313">
                  <c:v>1.3041666666666634</c:v>
                </c:pt>
                <c:pt idx="314">
                  <c:v>1.30833333333333</c:v>
                </c:pt>
                <c:pt idx="315">
                  <c:v>1.3124999999999967</c:v>
                </c:pt>
                <c:pt idx="316">
                  <c:v>1.3166666666666633</c:v>
                </c:pt>
                <c:pt idx="317">
                  <c:v>1.32083333333333</c:v>
                </c:pt>
                <c:pt idx="318">
                  <c:v>1.3249999999999966</c:v>
                </c:pt>
                <c:pt idx="319">
                  <c:v>1.3291666666666633</c:v>
                </c:pt>
                <c:pt idx="320">
                  <c:v>1.3333333333333299</c:v>
                </c:pt>
                <c:pt idx="321">
                  <c:v>1.3374999999999966</c:v>
                </c:pt>
                <c:pt idx="322">
                  <c:v>1.3416666666666632</c:v>
                </c:pt>
                <c:pt idx="323">
                  <c:v>1.3458333333333299</c:v>
                </c:pt>
                <c:pt idx="324">
                  <c:v>1.3499999999999965</c:v>
                </c:pt>
                <c:pt idx="325">
                  <c:v>1.3541666666666632</c:v>
                </c:pt>
                <c:pt idx="326">
                  <c:v>1.3583333333333298</c:v>
                </c:pt>
                <c:pt idx="327">
                  <c:v>1.3624999999999965</c:v>
                </c:pt>
                <c:pt idx="328">
                  <c:v>1.3666666666666631</c:v>
                </c:pt>
                <c:pt idx="329">
                  <c:v>1.3708333333333298</c:v>
                </c:pt>
                <c:pt idx="330">
                  <c:v>1.3749999999999964</c:v>
                </c:pt>
                <c:pt idx="331">
                  <c:v>1.3791666666666631</c:v>
                </c:pt>
                <c:pt idx="332">
                  <c:v>1.3833333333333298</c:v>
                </c:pt>
                <c:pt idx="333">
                  <c:v>1.3874999999999964</c:v>
                </c:pt>
                <c:pt idx="334">
                  <c:v>1.3916666666666631</c:v>
                </c:pt>
                <c:pt idx="335">
                  <c:v>1.3958333333333297</c:v>
                </c:pt>
                <c:pt idx="336">
                  <c:v>1.3999999999999964</c:v>
                </c:pt>
                <c:pt idx="337">
                  <c:v>1.404166666666663</c:v>
                </c:pt>
                <c:pt idx="338">
                  <c:v>1.4083333333333297</c:v>
                </c:pt>
                <c:pt idx="339">
                  <c:v>1.4124999999999963</c:v>
                </c:pt>
                <c:pt idx="340">
                  <c:v>1.416666666666663</c:v>
                </c:pt>
                <c:pt idx="341">
                  <c:v>1.4208333333333296</c:v>
                </c:pt>
                <c:pt idx="342">
                  <c:v>1.4249999999999963</c:v>
                </c:pt>
                <c:pt idx="343">
                  <c:v>1.4291666666666629</c:v>
                </c:pt>
                <c:pt idx="344">
                  <c:v>1.4333333333333296</c:v>
                </c:pt>
                <c:pt idx="345">
                  <c:v>1.4374999999999962</c:v>
                </c:pt>
                <c:pt idx="346">
                  <c:v>1.4416666666666629</c:v>
                </c:pt>
                <c:pt idx="347">
                  <c:v>1.4458333333333295</c:v>
                </c:pt>
                <c:pt idx="348">
                  <c:v>1.4499999999999962</c:v>
                </c:pt>
                <c:pt idx="349">
                  <c:v>1.4541666666666628</c:v>
                </c:pt>
                <c:pt idx="350">
                  <c:v>1.4583333333333295</c:v>
                </c:pt>
                <c:pt idx="351">
                  <c:v>1.4624999999999961</c:v>
                </c:pt>
                <c:pt idx="352">
                  <c:v>1.4666666666666628</c:v>
                </c:pt>
                <c:pt idx="353">
                  <c:v>1.4708333333333294</c:v>
                </c:pt>
                <c:pt idx="354">
                  <c:v>1.4749999999999961</c:v>
                </c:pt>
                <c:pt idx="355">
                  <c:v>1.4791666666666627</c:v>
                </c:pt>
                <c:pt idx="356">
                  <c:v>1.4833333333333294</c:v>
                </c:pt>
                <c:pt idx="357">
                  <c:v>1.487499999999996</c:v>
                </c:pt>
                <c:pt idx="358">
                  <c:v>1.4916666666666627</c:v>
                </c:pt>
                <c:pt idx="359">
                  <c:v>1.4958333333333294</c:v>
                </c:pt>
                <c:pt idx="360">
                  <c:v>1.499999999999996</c:v>
                </c:pt>
                <c:pt idx="361">
                  <c:v>1.5041666666666627</c:v>
                </c:pt>
                <c:pt idx="362">
                  <c:v>1.5083333333333293</c:v>
                </c:pt>
                <c:pt idx="363">
                  <c:v>1.512499999999996</c:v>
                </c:pt>
                <c:pt idx="364">
                  <c:v>1.5166666666666626</c:v>
                </c:pt>
                <c:pt idx="365">
                  <c:v>1.5208333333333293</c:v>
                </c:pt>
                <c:pt idx="366">
                  <c:v>1.5249999999999959</c:v>
                </c:pt>
                <c:pt idx="367">
                  <c:v>1.5291666666666626</c:v>
                </c:pt>
                <c:pt idx="368">
                  <c:v>1.5333333333333292</c:v>
                </c:pt>
                <c:pt idx="369">
                  <c:v>1.5374999999999959</c:v>
                </c:pt>
                <c:pt idx="370">
                  <c:v>1.5416666666666625</c:v>
                </c:pt>
                <c:pt idx="371">
                  <c:v>1.5458333333333292</c:v>
                </c:pt>
                <c:pt idx="372">
                  <c:v>1.5499999999999958</c:v>
                </c:pt>
                <c:pt idx="373">
                  <c:v>1.5541666666666625</c:v>
                </c:pt>
                <c:pt idx="374">
                  <c:v>1.5583333333333291</c:v>
                </c:pt>
                <c:pt idx="375">
                  <c:v>1.5624999999999958</c:v>
                </c:pt>
                <c:pt idx="376">
                  <c:v>1.5666666666666624</c:v>
                </c:pt>
                <c:pt idx="377">
                  <c:v>1.5708333333333291</c:v>
                </c:pt>
                <c:pt idx="378">
                  <c:v>1.5749999999999957</c:v>
                </c:pt>
                <c:pt idx="379">
                  <c:v>1.5791666666666624</c:v>
                </c:pt>
                <c:pt idx="380">
                  <c:v>1.583333333333329</c:v>
                </c:pt>
                <c:pt idx="381">
                  <c:v>1.5874999999999957</c:v>
                </c:pt>
                <c:pt idx="382">
                  <c:v>1.5916666666666623</c:v>
                </c:pt>
                <c:pt idx="383">
                  <c:v>1.595833333333329</c:v>
                </c:pt>
                <c:pt idx="384">
                  <c:v>1.5999999999999956</c:v>
                </c:pt>
                <c:pt idx="385">
                  <c:v>1.6041666666666623</c:v>
                </c:pt>
                <c:pt idx="386">
                  <c:v>1.608333333333329</c:v>
                </c:pt>
                <c:pt idx="387">
                  <c:v>1.6124999999999956</c:v>
                </c:pt>
                <c:pt idx="388">
                  <c:v>1.6166666666666623</c:v>
                </c:pt>
                <c:pt idx="389">
                  <c:v>1.6208333333333289</c:v>
                </c:pt>
                <c:pt idx="390">
                  <c:v>1.6249999999999956</c:v>
                </c:pt>
                <c:pt idx="391">
                  <c:v>1.6291666666666622</c:v>
                </c:pt>
                <c:pt idx="392">
                  <c:v>1.6333333333333289</c:v>
                </c:pt>
                <c:pt idx="393">
                  <c:v>1.6374999999999955</c:v>
                </c:pt>
                <c:pt idx="394">
                  <c:v>1.6416666666666622</c:v>
                </c:pt>
                <c:pt idx="395">
                  <c:v>1.6458333333333288</c:v>
                </c:pt>
                <c:pt idx="396">
                  <c:v>1.6499999999999955</c:v>
                </c:pt>
                <c:pt idx="397">
                  <c:v>1.6541666666666621</c:v>
                </c:pt>
                <c:pt idx="398">
                  <c:v>1.6583333333333288</c:v>
                </c:pt>
                <c:pt idx="399">
                  <c:v>1.6624999999999954</c:v>
                </c:pt>
                <c:pt idx="400">
                  <c:v>1.6666666666666621</c:v>
                </c:pt>
                <c:pt idx="401">
                  <c:v>1.6708333333333287</c:v>
                </c:pt>
                <c:pt idx="402">
                  <c:v>1.6749999999999954</c:v>
                </c:pt>
                <c:pt idx="403">
                  <c:v>1.679166666666662</c:v>
                </c:pt>
                <c:pt idx="404">
                  <c:v>1.6833333333333287</c:v>
                </c:pt>
                <c:pt idx="405">
                  <c:v>1.6874999999999953</c:v>
                </c:pt>
                <c:pt idx="406">
                  <c:v>1.691666666666662</c:v>
                </c:pt>
                <c:pt idx="407">
                  <c:v>1.6958333333333286</c:v>
                </c:pt>
                <c:pt idx="408">
                  <c:v>1.6999999999999953</c:v>
                </c:pt>
                <c:pt idx="409">
                  <c:v>1.7041666666666619</c:v>
                </c:pt>
                <c:pt idx="410">
                  <c:v>1.7083333333333286</c:v>
                </c:pt>
                <c:pt idx="411">
                  <c:v>1.7124999999999952</c:v>
                </c:pt>
                <c:pt idx="412">
                  <c:v>1.7166666666666619</c:v>
                </c:pt>
                <c:pt idx="413">
                  <c:v>1.7208333333333286</c:v>
                </c:pt>
                <c:pt idx="414">
                  <c:v>1.7249999999999952</c:v>
                </c:pt>
                <c:pt idx="415">
                  <c:v>1.7291666666666619</c:v>
                </c:pt>
                <c:pt idx="416">
                  <c:v>1.7333333333333285</c:v>
                </c:pt>
                <c:pt idx="417">
                  <c:v>1.7374999999999952</c:v>
                </c:pt>
                <c:pt idx="418">
                  <c:v>1.7416666666666618</c:v>
                </c:pt>
                <c:pt idx="419">
                  <c:v>1.7458333333333285</c:v>
                </c:pt>
                <c:pt idx="420">
                  <c:v>1.7499999999999951</c:v>
                </c:pt>
                <c:pt idx="421">
                  <c:v>1.7541666666666618</c:v>
                </c:pt>
                <c:pt idx="422">
                  <c:v>1.7583333333333284</c:v>
                </c:pt>
                <c:pt idx="423">
                  <c:v>1.7624999999999951</c:v>
                </c:pt>
                <c:pt idx="424">
                  <c:v>1.7666666666666617</c:v>
                </c:pt>
                <c:pt idx="425">
                  <c:v>1.7708333333333284</c:v>
                </c:pt>
                <c:pt idx="426">
                  <c:v>1.774999999999995</c:v>
                </c:pt>
                <c:pt idx="427">
                  <c:v>1.7791666666666617</c:v>
                </c:pt>
                <c:pt idx="428">
                  <c:v>1.7833333333333283</c:v>
                </c:pt>
                <c:pt idx="429">
                  <c:v>1.787499999999995</c:v>
                </c:pt>
                <c:pt idx="430">
                  <c:v>1.7916666666666616</c:v>
                </c:pt>
                <c:pt idx="431">
                  <c:v>1.7958333333333283</c:v>
                </c:pt>
                <c:pt idx="432">
                  <c:v>1.7999999999999949</c:v>
                </c:pt>
                <c:pt idx="433">
                  <c:v>1.8041666666666616</c:v>
                </c:pt>
                <c:pt idx="434">
                  <c:v>1.8083333333333282</c:v>
                </c:pt>
                <c:pt idx="435">
                  <c:v>1.8124999999999949</c:v>
                </c:pt>
                <c:pt idx="436">
                  <c:v>1.8166666666666615</c:v>
                </c:pt>
                <c:pt idx="437">
                  <c:v>1.8208333333333282</c:v>
                </c:pt>
                <c:pt idx="438">
                  <c:v>1.8249999999999948</c:v>
                </c:pt>
                <c:pt idx="439">
                  <c:v>1.8291666666666615</c:v>
                </c:pt>
                <c:pt idx="440">
                  <c:v>1.8333333333333282</c:v>
                </c:pt>
                <c:pt idx="441">
                  <c:v>1.8374999999999948</c:v>
                </c:pt>
                <c:pt idx="442">
                  <c:v>1.8416666666666615</c:v>
                </c:pt>
                <c:pt idx="443">
                  <c:v>1.8458333333333281</c:v>
                </c:pt>
                <c:pt idx="444">
                  <c:v>1.8499999999999948</c:v>
                </c:pt>
                <c:pt idx="445">
                  <c:v>1.8541666666666614</c:v>
                </c:pt>
                <c:pt idx="446">
                  <c:v>1.8583333333333281</c:v>
                </c:pt>
                <c:pt idx="447">
                  <c:v>1.8624999999999947</c:v>
                </c:pt>
                <c:pt idx="448">
                  <c:v>1.8666666666666614</c:v>
                </c:pt>
                <c:pt idx="449">
                  <c:v>1.870833333333328</c:v>
                </c:pt>
                <c:pt idx="450">
                  <c:v>1.8749999999999947</c:v>
                </c:pt>
                <c:pt idx="451">
                  <c:v>1.8791666666666613</c:v>
                </c:pt>
                <c:pt idx="452">
                  <c:v>1.883333333333328</c:v>
                </c:pt>
                <c:pt idx="453">
                  <c:v>1.8874999999999946</c:v>
                </c:pt>
                <c:pt idx="454">
                  <c:v>1.8916666666666613</c:v>
                </c:pt>
                <c:pt idx="455">
                  <c:v>1.8958333333333279</c:v>
                </c:pt>
                <c:pt idx="456">
                  <c:v>1.8999999999999946</c:v>
                </c:pt>
                <c:pt idx="457">
                  <c:v>1.9041666666666612</c:v>
                </c:pt>
                <c:pt idx="458">
                  <c:v>1.9083333333333279</c:v>
                </c:pt>
                <c:pt idx="459">
                  <c:v>1.9124999999999945</c:v>
                </c:pt>
                <c:pt idx="460">
                  <c:v>1.9166666666666612</c:v>
                </c:pt>
                <c:pt idx="461">
                  <c:v>1.9208333333333278</c:v>
                </c:pt>
                <c:pt idx="462">
                  <c:v>1.9249999999999945</c:v>
                </c:pt>
                <c:pt idx="463">
                  <c:v>1.9291666666666611</c:v>
                </c:pt>
                <c:pt idx="464">
                  <c:v>1.9333333333333278</c:v>
                </c:pt>
                <c:pt idx="465">
                  <c:v>1.9374999999999944</c:v>
                </c:pt>
                <c:pt idx="466">
                  <c:v>1.9416666666666611</c:v>
                </c:pt>
                <c:pt idx="467">
                  <c:v>1.9458333333333278</c:v>
                </c:pt>
                <c:pt idx="468">
                  <c:v>1.9499999999999944</c:v>
                </c:pt>
                <c:pt idx="469">
                  <c:v>1.9541666666666611</c:v>
                </c:pt>
                <c:pt idx="470">
                  <c:v>1.9583333333333277</c:v>
                </c:pt>
                <c:pt idx="471">
                  <c:v>1.9624999999999944</c:v>
                </c:pt>
                <c:pt idx="472">
                  <c:v>1.966666666666661</c:v>
                </c:pt>
                <c:pt idx="473">
                  <c:v>1.9708333333333277</c:v>
                </c:pt>
                <c:pt idx="474">
                  <c:v>1.9749999999999943</c:v>
                </c:pt>
                <c:pt idx="475">
                  <c:v>1.979166666666661</c:v>
                </c:pt>
                <c:pt idx="476">
                  <c:v>1.9833333333333276</c:v>
                </c:pt>
                <c:pt idx="477">
                  <c:v>1.9874999999999943</c:v>
                </c:pt>
                <c:pt idx="478">
                  <c:v>1.9916666666666609</c:v>
                </c:pt>
                <c:pt idx="479">
                  <c:v>1.9958333333333276</c:v>
                </c:pt>
                <c:pt idx="480">
                  <c:v>1.9999999999999942</c:v>
                </c:pt>
                <c:pt idx="481">
                  <c:v>2.0041666666666611</c:v>
                </c:pt>
                <c:pt idx="482">
                  <c:v>2.008333333333328</c:v>
                </c:pt>
                <c:pt idx="483">
                  <c:v>2.0124999999999948</c:v>
                </c:pt>
                <c:pt idx="484">
                  <c:v>2.0166666666666617</c:v>
                </c:pt>
                <c:pt idx="485">
                  <c:v>2.0208333333333286</c:v>
                </c:pt>
                <c:pt idx="486">
                  <c:v>2.0249999999999955</c:v>
                </c:pt>
                <c:pt idx="487">
                  <c:v>2.0291666666666623</c:v>
                </c:pt>
                <c:pt idx="488">
                  <c:v>2.0333333333333292</c:v>
                </c:pt>
                <c:pt idx="489">
                  <c:v>2.0374999999999961</c:v>
                </c:pt>
                <c:pt idx="490">
                  <c:v>2.041666666666663</c:v>
                </c:pt>
                <c:pt idx="491">
                  <c:v>2.0458333333333298</c:v>
                </c:pt>
                <c:pt idx="492">
                  <c:v>2.0499999999999967</c:v>
                </c:pt>
                <c:pt idx="493">
                  <c:v>2.0541666666666636</c:v>
                </c:pt>
                <c:pt idx="494">
                  <c:v>2.0583333333333305</c:v>
                </c:pt>
                <c:pt idx="495">
                  <c:v>2.0624999999999973</c:v>
                </c:pt>
                <c:pt idx="496">
                  <c:v>2.0666666666666642</c:v>
                </c:pt>
                <c:pt idx="497">
                  <c:v>2.0708333333333311</c:v>
                </c:pt>
                <c:pt idx="498">
                  <c:v>2.074999999999998</c:v>
                </c:pt>
              </c:numCache>
            </c:numRef>
          </c:cat>
          <c:val>
            <c:numRef>
              <c:f>Sheet1!$A$12:$A$510</c:f>
              <c:numCache>
                <c:formatCode>General</c:formatCode>
                <c:ptCount val="499"/>
                <c:pt idx="0">
                  <c:v>100</c:v>
                </c:pt>
                <c:pt idx="1">
                  <c:v>100.02400981342802</c:v>
                </c:pt>
                <c:pt idx="2">
                  <c:v>99.828780161585215</c:v>
                </c:pt>
                <c:pt idx="3">
                  <c:v>100.09249412484773</c:v>
                </c:pt>
                <c:pt idx="4">
                  <c:v>99.113962319294885</c:v>
                </c:pt>
                <c:pt idx="5">
                  <c:v>101.99259470889288</c:v>
                </c:pt>
                <c:pt idx="6">
                  <c:v>101.88237139959575</c:v>
                </c:pt>
                <c:pt idx="7">
                  <c:v>100.73328309122502</c:v>
                </c:pt>
                <c:pt idx="8">
                  <c:v>102.49183792895182</c:v>
                </c:pt>
                <c:pt idx="9">
                  <c:v>101.506227710245</c:v>
                </c:pt>
                <c:pt idx="10">
                  <c:v>101.71600359652207</c:v>
                </c:pt>
                <c:pt idx="11">
                  <c:v>100.05552209496901</c:v>
                </c:pt>
                <c:pt idx="12">
                  <c:v>98.355192350095763</c:v>
                </c:pt>
                <c:pt idx="13">
                  <c:v>98.566076852176167</c:v>
                </c:pt>
                <c:pt idx="14">
                  <c:v>97.687985206070479</c:v>
                </c:pt>
                <c:pt idx="15">
                  <c:v>98.239711805279057</c:v>
                </c:pt>
                <c:pt idx="16">
                  <c:v>97.720715844531469</c:v>
                </c:pt>
                <c:pt idx="17">
                  <c:v>99.224841622054143</c:v>
                </c:pt>
                <c:pt idx="18">
                  <c:v>97.111314064530006</c:v>
                </c:pt>
                <c:pt idx="19">
                  <c:v>98.228284624731188</c:v>
                </c:pt>
                <c:pt idx="20">
                  <c:v>97.399760792296405</c:v>
                </c:pt>
                <c:pt idx="21">
                  <c:v>97.843809161936861</c:v>
                </c:pt>
                <c:pt idx="22">
                  <c:v>98.829907043752328</c:v>
                </c:pt>
                <c:pt idx="23">
                  <c:v>97.388790634828098</c:v>
                </c:pt>
                <c:pt idx="24">
                  <c:v>97.501539059401935</c:v>
                </c:pt>
                <c:pt idx="25">
                  <c:v>97.762936823000459</c:v>
                </c:pt>
                <c:pt idx="26">
                  <c:v>96.570578691698913</c:v>
                </c:pt>
                <c:pt idx="27">
                  <c:v>95.56962580048932</c:v>
                </c:pt>
                <c:pt idx="28">
                  <c:v>94.498969367453967</c:v>
                </c:pt>
                <c:pt idx="29">
                  <c:v>93.796014896404103</c:v>
                </c:pt>
                <c:pt idx="30">
                  <c:v>93.888370939799415</c:v>
                </c:pt>
                <c:pt idx="31">
                  <c:v>93.477337357821838</c:v>
                </c:pt>
                <c:pt idx="32">
                  <c:v>93.458404322055387</c:v>
                </c:pt>
                <c:pt idx="33">
                  <c:v>92.757107827176696</c:v>
                </c:pt>
                <c:pt idx="34">
                  <c:v>91.704956667318115</c:v>
                </c:pt>
                <c:pt idx="35">
                  <c:v>93.213246583575568</c:v>
                </c:pt>
                <c:pt idx="36">
                  <c:v>93.082782880738975</c:v>
                </c:pt>
                <c:pt idx="37">
                  <c:v>93.318780606043433</c:v>
                </c:pt>
                <c:pt idx="38">
                  <c:v>94.285191284076319</c:v>
                </c:pt>
                <c:pt idx="39">
                  <c:v>93.097108089423813</c:v>
                </c:pt>
                <c:pt idx="40">
                  <c:v>93.842081447339382</c:v>
                </c:pt>
                <c:pt idx="41">
                  <c:v>92.888319479964835</c:v>
                </c:pt>
                <c:pt idx="42">
                  <c:v>92.49547861033551</c:v>
                </c:pt>
                <c:pt idx="43">
                  <c:v>90.597000275722422</c:v>
                </c:pt>
                <c:pt idx="44">
                  <c:v>91.884844506400654</c:v>
                </c:pt>
                <c:pt idx="45">
                  <c:v>91.030613593787493</c:v>
                </c:pt>
                <c:pt idx="46">
                  <c:v>90.721329295966427</c:v>
                </c:pt>
                <c:pt idx="47">
                  <c:v>92.203775793736028</c:v>
                </c:pt>
                <c:pt idx="48">
                  <c:v>92.21291273844605</c:v>
                </c:pt>
                <c:pt idx="49">
                  <c:v>93.497901344369922</c:v>
                </c:pt>
                <c:pt idx="50">
                  <c:v>92.61695153324672</c:v>
                </c:pt>
                <c:pt idx="51">
                  <c:v>93.024400074653542</c:v>
                </c:pt>
                <c:pt idx="52">
                  <c:v>91.972872284664078</c:v>
                </c:pt>
                <c:pt idx="53">
                  <c:v>92.841226248406485</c:v>
                </c:pt>
                <c:pt idx="54">
                  <c:v>90.915735635911204</c:v>
                </c:pt>
                <c:pt idx="55">
                  <c:v>92.903660091524401</c:v>
                </c:pt>
                <c:pt idx="56">
                  <c:v>93.739883800220085</c:v>
                </c:pt>
                <c:pt idx="57">
                  <c:v>94.049123479090127</c:v>
                </c:pt>
                <c:pt idx="58">
                  <c:v>94.297818256274709</c:v>
                </c:pt>
                <c:pt idx="59">
                  <c:v>96.049331933340028</c:v>
                </c:pt>
                <c:pt idx="60">
                  <c:v>95.318791398770045</c:v>
                </c:pt>
                <c:pt idx="61">
                  <c:v>94.816473917579984</c:v>
                </c:pt>
                <c:pt idx="62">
                  <c:v>96.283282167521179</c:v>
                </c:pt>
                <c:pt idx="63">
                  <c:v>93.158293126684939</c:v>
                </c:pt>
                <c:pt idx="64">
                  <c:v>93.376160746812403</c:v>
                </c:pt>
                <c:pt idx="65">
                  <c:v>93.482217921942336</c:v>
                </c:pt>
                <c:pt idx="66">
                  <c:v>93.584988784197208</c:v>
                </c:pt>
                <c:pt idx="67">
                  <c:v>93.071882441142549</c:v>
                </c:pt>
                <c:pt idx="68">
                  <c:v>93.516406197317366</c:v>
                </c:pt>
                <c:pt idx="69">
                  <c:v>93.39747866955058</c:v>
                </c:pt>
                <c:pt idx="70">
                  <c:v>93.138730090445392</c:v>
                </c:pt>
                <c:pt idx="71">
                  <c:v>92.76992844677568</c:v>
                </c:pt>
                <c:pt idx="72">
                  <c:v>94.842593924016427</c:v>
                </c:pt>
                <c:pt idx="73">
                  <c:v>93.952490992765888</c:v>
                </c:pt>
                <c:pt idx="74">
                  <c:v>93.904795775767326</c:v>
                </c:pt>
                <c:pt idx="75">
                  <c:v>94.683559519529382</c:v>
                </c:pt>
                <c:pt idx="76">
                  <c:v>94.245047242651637</c:v>
                </c:pt>
                <c:pt idx="77">
                  <c:v>96.646431311553343</c:v>
                </c:pt>
                <c:pt idx="78">
                  <c:v>97.181679770784811</c:v>
                </c:pt>
                <c:pt idx="79">
                  <c:v>98.313294375559025</c:v>
                </c:pt>
                <c:pt idx="80">
                  <c:v>97.186053455101231</c:v>
                </c:pt>
                <c:pt idx="81">
                  <c:v>96.493879468904524</c:v>
                </c:pt>
                <c:pt idx="82">
                  <c:v>97.996947182834219</c:v>
                </c:pt>
                <c:pt idx="83">
                  <c:v>98.898579793910898</c:v>
                </c:pt>
                <c:pt idx="84">
                  <c:v>96.142668262663079</c:v>
                </c:pt>
                <c:pt idx="85">
                  <c:v>96.637122683473962</c:v>
                </c:pt>
                <c:pt idx="86">
                  <c:v>97.221759809206674</c:v>
                </c:pt>
                <c:pt idx="87">
                  <c:v>97.304732808064543</c:v>
                </c:pt>
                <c:pt idx="88">
                  <c:v>97.090168650641061</c:v>
                </c:pt>
                <c:pt idx="89">
                  <c:v>97.251094336624149</c:v>
                </c:pt>
                <c:pt idx="90">
                  <c:v>98.922979123609963</c:v>
                </c:pt>
                <c:pt idx="91">
                  <c:v>98.282729135796302</c:v>
                </c:pt>
                <c:pt idx="92">
                  <c:v>97.197372773654095</c:v>
                </c:pt>
                <c:pt idx="93">
                  <c:v>96.164507224558093</c:v>
                </c:pt>
                <c:pt idx="94">
                  <c:v>95.224288860973857</c:v>
                </c:pt>
                <c:pt idx="95">
                  <c:v>95.991954667399838</c:v>
                </c:pt>
                <c:pt idx="96">
                  <c:v>95.409911404583298</c:v>
                </c:pt>
                <c:pt idx="97">
                  <c:v>95.2954257811123</c:v>
                </c:pt>
                <c:pt idx="98">
                  <c:v>94.995616437381983</c:v>
                </c:pt>
                <c:pt idx="99">
                  <c:v>95.654024159326653</c:v>
                </c:pt>
                <c:pt idx="100">
                  <c:v>93.613348380981279</c:v>
                </c:pt>
                <c:pt idx="101">
                  <c:v>94.017007729349942</c:v>
                </c:pt>
                <c:pt idx="102">
                  <c:v>90.314112395427642</c:v>
                </c:pt>
                <c:pt idx="103">
                  <c:v>89.866998876757464</c:v>
                </c:pt>
                <c:pt idx="104">
                  <c:v>91.094585482191889</c:v>
                </c:pt>
                <c:pt idx="105">
                  <c:v>91.638703033997388</c:v>
                </c:pt>
                <c:pt idx="106">
                  <c:v>92.656867065595449</c:v>
                </c:pt>
                <c:pt idx="107">
                  <c:v>95.781704136599458</c:v>
                </c:pt>
                <c:pt idx="108">
                  <c:v>94.900653006663916</c:v>
                </c:pt>
                <c:pt idx="109">
                  <c:v>96.050004368524966</c:v>
                </c:pt>
                <c:pt idx="110">
                  <c:v>98.174178403590389</c:v>
                </c:pt>
                <c:pt idx="111">
                  <c:v>98.026891373513237</c:v>
                </c:pt>
                <c:pt idx="112">
                  <c:v>98.586201975788015</c:v>
                </c:pt>
                <c:pt idx="113">
                  <c:v>97.050665180874105</c:v>
                </c:pt>
                <c:pt idx="114">
                  <c:v>97.001949646382329</c:v>
                </c:pt>
                <c:pt idx="115">
                  <c:v>98.277980208105973</c:v>
                </c:pt>
                <c:pt idx="116">
                  <c:v>98.080984307098163</c:v>
                </c:pt>
                <c:pt idx="117">
                  <c:v>98.061307555546975</c:v>
                </c:pt>
                <c:pt idx="118">
                  <c:v>97.595907185391482</c:v>
                </c:pt>
                <c:pt idx="119">
                  <c:v>99.097801713136533</c:v>
                </c:pt>
                <c:pt idx="120">
                  <c:v>99.701698170727255</c:v>
                </c:pt>
                <c:pt idx="121">
                  <c:v>97.341426693226438</c:v>
                </c:pt>
                <c:pt idx="122">
                  <c:v>96.77883948296531</c:v>
                </c:pt>
                <c:pt idx="123">
                  <c:v>99.397202232204194</c:v>
                </c:pt>
                <c:pt idx="124">
                  <c:v>99.072123262803117</c:v>
                </c:pt>
                <c:pt idx="125">
                  <c:v>96.978680427052225</c:v>
                </c:pt>
                <c:pt idx="126">
                  <c:v>96.742063661022044</c:v>
                </c:pt>
                <c:pt idx="127">
                  <c:v>98.237728085355045</c:v>
                </c:pt>
                <c:pt idx="128">
                  <c:v>98.952434830194278</c:v>
                </c:pt>
                <c:pt idx="129">
                  <c:v>97.997712139250638</c:v>
                </c:pt>
                <c:pt idx="130">
                  <c:v>96.642560249756713</c:v>
                </c:pt>
                <c:pt idx="131">
                  <c:v>96.077598688987067</c:v>
                </c:pt>
                <c:pt idx="132">
                  <c:v>95.972776395350436</c:v>
                </c:pt>
                <c:pt idx="133">
                  <c:v>99.360523863707471</c:v>
                </c:pt>
                <c:pt idx="134">
                  <c:v>99.841694522847916</c:v>
                </c:pt>
                <c:pt idx="135">
                  <c:v>100.66203580573935</c:v>
                </c:pt>
                <c:pt idx="136">
                  <c:v>102.20146372024159</c:v>
                </c:pt>
                <c:pt idx="137">
                  <c:v>102.99518750643959</c:v>
                </c:pt>
                <c:pt idx="138">
                  <c:v>102.90894327974563</c:v>
                </c:pt>
                <c:pt idx="139">
                  <c:v>105.21140289411804</c:v>
                </c:pt>
                <c:pt idx="140">
                  <c:v>105.15151005137368</c:v>
                </c:pt>
                <c:pt idx="141">
                  <c:v>104.84308165600189</c:v>
                </c:pt>
                <c:pt idx="142">
                  <c:v>104.25466993780087</c:v>
                </c:pt>
                <c:pt idx="143">
                  <c:v>102.83841664757813</c:v>
                </c:pt>
                <c:pt idx="144">
                  <c:v>101.26908419558994</c:v>
                </c:pt>
                <c:pt idx="145">
                  <c:v>102.31584422492881</c:v>
                </c:pt>
                <c:pt idx="146">
                  <c:v>102.19655935107586</c:v>
                </c:pt>
                <c:pt idx="147">
                  <c:v>101.87934495017386</c:v>
                </c:pt>
                <c:pt idx="148">
                  <c:v>104.07296035591041</c:v>
                </c:pt>
                <c:pt idx="149">
                  <c:v>102.43655937506242</c:v>
                </c:pt>
                <c:pt idx="150">
                  <c:v>102.39163568949058</c:v>
                </c:pt>
                <c:pt idx="151">
                  <c:v>101.79873247374563</c:v>
                </c:pt>
                <c:pt idx="152">
                  <c:v>100.72153486026026</c:v>
                </c:pt>
                <c:pt idx="153">
                  <c:v>100.81900753176198</c:v>
                </c:pt>
                <c:pt idx="154">
                  <c:v>101.44100548479298</c:v>
                </c:pt>
                <c:pt idx="155">
                  <c:v>103.24056824408039</c:v>
                </c:pt>
                <c:pt idx="156">
                  <c:v>104.00380047389056</c:v>
                </c:pt>
                <c:pt idx="157">
                  <c:v>100.02079967446501</c:v>
                </c:pt>
                <c:pt idx="158">
                  <c:v>100.50073544201706</c:v>
                </c:pt>
                <c:pt idx="159">
                  <c:v>98.766700315971718</c:v>
                </c:pt>
                <c:pt idx="160">
                  <c:v>97.682420299453668</c:v>
                </c:pt>
                <c:pt idx="161">
                  <c:v>97.002149235360733</c:v>
                </c:pt>
                <c:pt idx="162">
                  <c:v>96.129625020144388</c:v>
                </c:pt>
                <c:pt idx="163">
                  <c:v>98.002165663569826</c:v>
                </c:pt>
                <c:pt idx="164">
                  <c:v>99.498297181478364</c:v>
                </c:pt>
                <c:pt idx="165">
                  <c:v>100.12573946190899</c:v>
                </c:pt>
                <c:pt idx="166">
                  <c:v>101.666066724543</c:v>
                </c:pt>
                <c:pt idx="167">
                  <c:v>100.66053988864365</c:v>
                </c:pt>
                <c:pt idx="168">
                  <c:v>101.44959538152803</c:v>
                </c:pt>
                <c:pt idx="169">
                  <c:v>102.03206112312792</c:v>
                </c:pt>
                <c:pt idx="170">
                  <c:v>101.72340032980975</c:v>
                </c:pt>
                <c:pt idx="171">
                  <c:v>100.4485164367226</c:v>
                </c:pt>
                <c:pt idx="172">
                  <c:v>99.94853252428922</c:v>
                </c:pt>
                <c:pt idx="173">
                  <c:v>99.354673135895737</c:v>
                </c:pt>
                <c:pt idx="174">
                  <c:v>97.174296218891669</c:v>
                </c:pt>
                <c:pt idx="175">
                  <c:v>96.964274143503403</c:v>
                </c:pt>
                <c:pt idx="176">
                  <c:v>97.612641556214939</c:v>
                </c:pt>
                <c:pt idx="177">
                  <c:v>99.568218356667003</c:v>
                </c:pt>
                <c:pt idx="178">
                  <c:v>101.33196784683975</c:v>
                </c:pt>
                <c:pt idx="179">
                  <c:v>100.48391821841511</c:v>
                </c:pt>
                <c:pt idx="180">
                  <c:v>99.689778579125587</c:v>
                </c:pt>
                <c:pt idx="181">
                  <c:v>100.7335041058889</c:v>
                </c:pt>
                <c:pt idx="182">
                  <c:v>99.32942638655166</c:v>
                </c:pt>
                <c:pt idx="183">
                  <c:v>99.601856731658899</c:v>
                </c:pt>
                <c:pt idx="184">
                  <c:v>100.67446320282217</c:v>
                </c:pt>
                <c:pt idx="185">
                  <c:v>100.66934372881882</c:v>
                </c:pt>
                <c:pt idx="186">
                  <c:v>100.20908301486561</c:v>
                </c:pt>
                <c:pt idx="187">
                  <c:v>100.4948577355111</c:v>
                </c:pt>
                <c:pt idx="188">
                  <c:v>100.25435035787265</c:v>
                </c:pt>
                <c:pt idx="189">
                  <c:v>102.93169527714123</c:v>
                </c:pt>
                <c:pt idx="190">
                  <c:v>102.97228326698499</c:v>
                </c:pt>
                <c:pt idx="191">
                  <c:v>104.09433702952619</c:v>
                </c:pt>
                <c:pt idx="192">
                  <c:v>105.83463263813653</c:v>
                </c:pt>
                <c:pt idx="193">
                  <c:v>106.8088845484634</c:v>
                </c:pt>
                <c:pt idx="194">
                  <c:v>104.57938026003228</c:v>
                </c:pt>
                <c:pt idx="195">
                  <c:v>108.29096273228967</c:v>
                </c:pt>
                <c:pt idx="196">
                  <c:v>109.02298669132713</c:v>
                </c:pt>
                <c:pt idx="197">
                  <c:v>108.63680521200934</c:v>
                </c:pt>
                <c:pt idx="198">
                  <c:v>109.09733319743076</c:v>
                </c:pt>
                <c:pt idx="199">
                  <c:v>108.39919726478141</c:v>
                </c:pt>
                <c:pt idx="200">
                  <c:v>108.99656170812055</c:v>
                </c:pt>
                <c:pt idx="201">
                  <c:v>106.609851019773</c:v>
                </c:pt>
                <c:pt idx="202">
                  <c:v>105.6929373992719</c:v>
                </c:pt>
                <c:pt idx="203">
                  <c:v>103.78595821708291</c:v>
                </c:pt>
                <c:pt idx="204">
                  <c:v>105.13776652208016</c:v>
                </c:pt>
                <c:pt idx="205">
                  <c:v>105.71703442769035</c:v>
                </c:pt>
                <c:pt idx="206">
                  <c:v>106.59891459116183</c:v>
                </c:pt>
                <c:pt idx="207">
                  <c:v>106.21479691795767</c:v>
                </c:pt>
                <c:pt idx="208">
                  <c:v>107.08025315481767</c:v>
                </c:pt>
                <c:pt idx="209">
                  <c:v>106.9025544870985</c:v>
                </c:pt>
                <c:pt idx="210">
                  <c:v>107.58889412635232</c:v>
                </c:pt>
                <c:pt idx="211">
                  <c:v>107.2145939774786</c:v>
                </c:pt>
                <c:pt idx="212">
                  <c:v>104.68059462145041</c:v>
                </c:pt>
                <c:pt idx="213">
                  <c:v>106.89020721649763</c:v>
                </c:pt>
                <c:pt idx="214">
                  <c:v>105.85209782376324</c:v>
                </c:pt>
                <c:pt idx="215">
                  <c:v>107.77968349998399</c:v>
                </c:pt>
                <c:pt idx="216">
                  <c:v>108.63509355461731</c:v>
                </c:pt>
                <c:pt idx="217">
                  <c:v>107.82818160426073</c:v>
                </c:pt>
                <c:pt idx="218">
                  <c:v>107.84539720051336</c:v>
                </c:pt>
                <c:pt idx="219">
                  <c:v>107.08721571767508</c:v>
                </c:pt>
                <c:pt idx="220">
                  <c:v>105.74141822882511</c:v>
                </c:pt>
                <c:pt idx="221">
                  <c:v>107.35049467148725</c:v>
                </c:pt>
                <c:pt idx="222">
                  <c:v>106.66483496049281</c:v>
                </c:pt>
                <c:pt idx="223">
                  <c:v>107.2480070865401</c:v>
                </c:pt>
                <c:pt idx="224">
                  <c:v>109.18680676486952</c:v>
                </c:pt>
                <c:pt idx="225">
                  <c:v>108.22298029563562</c:v>
                </c:pt>
                <c:pt idx="226">
                  <c:v>105.9037020759193</c:v>
                </c:pt>
                <c:pt idx="227">
                  <c:v>105.91750920332402</c:v>
                </c:pt>
                <c:pt idx="228">
                  <c:v>106.74732550015457</c:v>
                </c:pt>
                <c:pt idx="229">
                  <c:v>107.70074708922229</c:v>
                </c:pt>
                <c:pt idx="230">
                  <c:v>105.7486481257118</c:v>
                </c:pt>
                <c:pt idx="231">
                  <c:v>105.16132598013128</c:v>
                </c:pt>
                <c:pt idx="232">
                  <c:v>107.3153256996939</c:v>
                </c:pt>
                <c:pt idx="233">
                  <c:v>107.93438588364597</c:v>
                </c:pt>
                <c:pt idx="234">
                  <c:v>105.89688229878409</c:v>
                </c:pt>
                <c:pt idx="235">
                  <c:v>105.25131250958741</c:v>
                </c:pt>
                <c:pt idx="236">
                  <c:v>103.52309259407504</c:v>
                </c:pt>
                <c:pt idx="237">
                  <c:v>104.43907647205498</c:v>
                </c:pt>
                <c:pt idx="238">
                  <c:v>105.28146719068171</c:v>
                </c:pt>
                <c:pt idx="239">
                  <c:v>103.25888452523965</c:v>
                </c:pt>
                <c:pt idx="240">
                  <c:v>103.87666616517745</c:v>
                </c:pt>
                <c:pt idx="241">
                  <c:v>103.20711208538654</c:v>
                </c:pt>
                <c:pt idx="242">
                  <c:v>101.52707316046792</c:v>
                </c:pt>
                <c:pt idx="243">
                  <c:v>100.77029385460337</c:v>
                </c:pt>
                <c:pt idx="244">
                  <c:v>103.30093219326163</c:v>
                </c:pt>
                <c:pt idx="245">
                  <c:v>102.43995118007918</c:v>
                </c:pt>
                <c:pt idx="246">
                  <c:v>102.12605565284387</c:v>
                </c:pt>
                <c:pt idx="247">
                  <c:v>101.67130137388747</c:v>
                </c:pt>
                <c:pt idx="248">
                  <c:v>99.815388924967522</c:v>
                </c:pt>
                <c:pt idx="249">
                  <c:v>101.19425126721011</c:v>
                </c:pt>
                <c:pt idx="250">
                  <c:v>102.31810041184752</c:v>
                </c:pt>
                <c:pt idx="251">
                  <c:v>104.08199165738169</c:v>
                </c:pt>
                <c:pt idx="252">
                  <c:v>105.41372487228217</c:v>
                </c:pt>
                <c:pt idx="253">
                  <c:v>105.7527964482267</c:v>
                </c:pt>
                <c:pt idx="254">
                  <c:v>105.74313046827612</c:v>
                </c:pt>
                <c:pt idx="255">
                  <c:v>105.11463261385461</c:v>
                </c:pt>
                <c:pt idx="256">
                  <c:v>102.57416164028</c:v>
                </c:pt>
                <c:pt idx="257">
                  <c:v>105.6370876736526</c:v>
                </c:pt>
                <c:pt idx="258">
                  <c:v>104.39767038771983</c:v>
                </c:pt>
                <c:pt idx="259">
                  <c:v>104.72958711852834</c:v>
                </c:pt>
                <c:pt idx="260">
                  <c:v>103.79028748479718</c:v>
                </c:pt>
                <c:pt idx="261">
                  <c:v>102.7988428459375</c:v>
                </c:pt>
                <c:pt idx="262">
                  <c:v>100.60814733065175</c:v>
                </c:pt>
                <c:pt idx="263">
                  <c:v>99.330076551060941</c:v>
                </c:pt>
                <c:pt idx="264">
                  <c:v>99.166904339827212</c:v>
                </c:pt>
                <c:pt idx="265">
                  <c:v>99.747806485710555</c:v>
                </c:pt>
                <c:pt idx="266">
                  <c:v>98.90412165785942</c:v>
                </c:pt>
                <c:pt idx="267">
                  <c:v>99.884320904281893</c:v>
                </c:pt>
                <c:pt idx="268">
                  <c:v>99.608664248514586</c:v>
                </c:pt>
                <c:pt idx="269">
                  <c:v>98.324366186364401</c:v>
                </c:pt>
                <c:pt idx="270">
                  <c:v>98.822882700880882</c:v>
                </c:pt>
                <c:pt idx="271">
                  <c:v>98.721129080670124</c:v>
                </c:pt>
                <c:pt idx="272">
                  <c:v>98.796606622671462</c:v>
                </c:pt>
                <c:pt idx="273">
                  <c:v>97.297149869845512</c:v>
                </c:pt>
                <c:pt idx="274">
                  <c:v>99.728248880016267</c:v>
                </c:pt>
                <c:pt idx="275">
                  <c:v>99.243119195100775</c:v>
                </c:pt>
                <c:pt idx="276">
                  <c:v>101.30979580576152</c:v>
                </c:pt>
                <c:pt idx="277">
                  <c:v>103.69911475154525</c:v>
                </c:pt>
                <c:pt idx="278">
                  <c:v>102.5707475697382</c:v>
                </c:pt>
                <c:pt idx="279">
                  <c:v>102.21851405705213</c:v>
                </c:pt>
                <c:pt idx="280">
                  <c:v>101.49257101724235</c:v>
                </c:pt>
                <c:pt idx="281">
                  <c:v>102.89131244493672</c:v>
                </c:pt>
                <c:pt idx="282">
                  <c:v>102.00006399370538</c:v>
                </c:pt>
                <c:pt idx="283">
                  <c:v>102.32900792528102</c:v>
                </c:pt>
                <c:pt idx="284">
                  <c:v>103.26682941390396</c:v>
                </c:pt>
                <c:pt idx="285">
                  <c:v>104.80163306312794</c:v>
                </c:pt>
                <c:pt idx="286">
                  <c:v>103.69478051861651</c:v>
                </c:pt>
                <c:pt idx="287">
                  <c:v>106.14644192581511</c:v>
                </c:pt>
                <c:pt idx="288">
                  <c:v>105.81708239924288</c:v>
                </c:pt>
                <c:pt idx="289">
                  <c:v>105.24198269917848</c:v>
                </c:pt>
                <c:pt idx="290">
                  <c:v>107.73463035675273</c:v>
                </c:pt>
                <c:pt idx="291">
                  <c:v>107.53134946734592</c:v>
                </c:pt>
                <c:pt idx="292">
                  <c:v>108.0778962950001</c:v>
                </c:pt>
                <c:pt idx="293">
                  <c:v>105.25038304443164</c:v>
                </c:pt>
                <c:pt idx="294">
                  <c:v>106.53628496798366</c:v>
                </c:pt>
                <c:pt idx="295">
                  <c:v>106.75279241693997</c:v>
                </c:pt>
                <c:pt idx="296">
                  <c:v>105.87884159237264</c:v>
                </c:pt>
                <c:pt idx="297">
                  <c:v>106.43302639343065</c:v>
                </c:pt>
                <c:pt idx="298">
                  <c:v>104.75978828431363</c:v>
                </c:pt>
                <c:pt idx="299">
                  <c:v>103.18206504986125</c:v>
                </c:pt>
                <c:pt idx="300">
                  <c:v>100.7333926895629</c:v>
                </c:pt>
                <c:pt idx="301">
                  <c:v>100.06316750461124</c:v>
                </c:pt>
                <c:pt idx="302">
                  <c:v>100.79872785543412</c:v>
                </c:pt>
                <c:pt idx="303">
                  <c:v>98.07814360151913</c:v>
                </c:pt>
                <c:pt idx="304">
                  <c:v>96.815884155578487</c:v>
                </c:pt>
                <c:pt idx="305">
                  <c:v>97.444236327700466</c:v>
                </c:pt>
                <c:pt idx="306">
                  <c:v>97.991877457229222</c:v>
                </c:pt>
                <c:pt idx="307">
                  <c:v>99.466773494112815</c:v>
                </c:pt>
                <c:pt idx="308">
                  <c:v>98.015143213022512</c:v>
                </c:pt>
                <c:pt idx="309">
                  <c:v>99.119149604523187</c:v>
                </c:pt>
                <c:pt idx="310">
                  <c:v>100.45360957413349</c:v>
                </c:pt>
                <c:pt idx="311">
                  <c:v>100.04380971457914</c:v>
                </c:pt>
                <c:pt idx="312">
                  <c:v>100.08800614589354</c:v>
                </c:pt>
                <c:pt idx="313">
                  <c:v>99.860580811625127</c:v>
                </c:pt>
                <c:pt idx="314">
                  <c:v>100.02532720191304</c:v>
                </c:pt>
                <c:pt idx="315">
                  <c:v>99.35691602483891</c:v>
                </c:pt>
                <c:pt idx="316">
                  <c:v>98.397974060069686</c:v>
                </c:pt>
                <c:pt idx="317">
                  <c:v>98.16714878209271</c:v>
                </c:pt>
                <c:pt idx="318">
                  <c:v>100.84290111554714</c:v>
                </c:pt>
                <c:pt idx="319">
                  <c:v>100.04527580257472</c:v>
                </c:pt>
                <c:pt idx="320">
                  <c:v>100.08882710944239</c:v>
                </c:pt>
                <c:pt idx="321">
                  <c:v>103.53021749203279</c:v>
                </c:pt>
                <c:pt idx="322">
                  <c:v>102.28556958437605</c:v>
                </c:pt>
                <c:pt idx="323">
                  <c:v>101.17141489434647</c:v>
                </c:pt>
                <c:pt idx="324">
                  <c:v>101.33426484758559</c:v>
                </c:pt>
                <c:pt idx="325">
                  <c:v>101.80376144822698</c:v>
                </c:pt>
                <c:pt idx="326">
                  <c:v>103.56115506937934</c:v>
                </c:pt>
                <c:pt idx="327">
                  <c:v>102.68297656633031</c:v>
                </c:pt>
                <c:pt idx="328">
                  <c:v>101.84838660091127</c:v>
                </c:pt>
                <c:pt idx="329">
                  <c:v>101.0955756940359</c:v>
                </c:pt>
                <c:pt idx="330">
                  <c:v>101.07673424292767</c:v>
                </c:pt>
                <c:pt idx="331">
                  <c:v>101.15332343491963</c:v>
                </c:pt>
                <c:pt idx="332">
                  <c:v>101.61425396615256</c:v>
                </c:pt>
                <c:pt idx="333">
                  <c:v>101.52164136978799</c:v>
                </c:pt>
                <c:pt idx="334">
                  <c:v>100.20849113979772</c:v>
                </c:pt>
                <c:pt idx="335">
                  <c:v>99.354563225671839</c:v>
                </c:pt>
                <c:pt idx="336">
                  <c:v>99.801559918723257</c:v>
                </c:pt>
                <c:pt idx="337">
                  <c:v>101.64197655467466</c:v>
                </c:pt>
                <c:pt idx="338">
                  <c:v>105.18991845210738</c:v>
                </c:pt>
                <c:pt idx="339">
                  <c:v>105.71035989750357</c:v>
                </c:pt>
                <c:pt idx="340">
                  <c:v>105.04022638680777</c:v>
                </c:pt>
                <c:pt idx="341">
                  <c:v>105.22039461880713</c:v>
                </c:pt>
                <c:pt idx="342">
                  <c:v>104.99772260936122</c:v>
                </c:pt>
                <c:pt idx="343">
                  <c:v>104.48102172614787</c:v>
                </c:pt>
                <c:pt idx="344">
                  <c:v>104.78065101996758</c:v>
                </c:pt>
                <c:pt idx="345">
                  <c:v>105.51964025733865</c:v>
                </c:pt>
                <c:pt idx="346">
                  <c:v>105.56043572734359</c:v>
                </c:pt>
                <c:pt idx="347">
                  <c:v>106.10566268007244</c:v>
                </c:pt>
                <c:pt idx="348">
                  <c:v>107.12169675154747</c:v>
                </c:pt>
                <c:pt idx="349">
                  <c:v>108.05667311175618</c:v>
                </c:pt>
                <c:pt idx="350">
                  <c:v>108.36082421163222</c:v>
                </c:pt>
                <c:pt idx="351">
                  <c:v>105.70189823168164</c:v>
                </c:pt>
                <c:pt idx="352">
                  <c:v>107.54372641422759</c:v>
                </c:pt>
                <c:pt idx="353">
                  <c:v>105.96983153448687</c:v>
                </c:pt>
                <c:pt idx="354">
                  <c:v>105.57666789989256</c:v>
                </c:pt>
                <c:pt idx="355">
                  <c:v>109.45377581724748</c:v>
                </c:pt>
                <c:pt idx="356">
                  <c:v>109.11815304081593</c:v>
                </c:pt>
                <c:pt idx="357">
                  <c:v>110.82870756770835</c:v>
                </c:pt>
                <c:pt idx="358">
                  <c:v>109.22735267207054</c:v>
                </c:pt>
                <c:pt idx="359">
                  <c:v>108.07870637981372</c:v>
                </c:pt>
                <c:pt idx="360">
                  <c:v>109.746285605609</c:v>
                </c:pt>
                <c:pt idx="361">
                  <c:v>108.09169218086409</c:v>
                </c:pt>
                <c:pt idx="362">
                  <c:v>109.71606913504769</c:v>
                </c:pt>
                <c:pt idx="363">
                  <c:v>108.17957740356384</c:v>
                </c:pt>
                <c:pt idx="364">
                  <c:v>109.53888485598046</c:v>
                </c:pt>
                <c:pt idx="365">
                  <c:v>109.57326742230261</c:v>
                </c:pt>
                <c:pt idx="366">
                  <c:v>107.81281684712258</c:v>
                </c:pt>
                <c:pt idx="367">
                  <c:v>108.53257334777371</c:v>
                </c:pt>
                <c:pt idx="368">
                  <c:v>107.81178960247702</c:v>
                </c:pt>
                <c:pt idx="369">
                  <c:v>110.31595844193296</c:v>
                </c:pt>
                <c:pt idx="370">
                  <c:v>112.0735840139115</c:v>
                </c:pt>
                <c:pt idx="371">
                  <c:v>112.43663260774666</c:v>
                </c:pt>
                <c:pt idx="372">
                  <c:v>112.30093671156222</c:v>
                </c:pt>
                <c:pt idx="373">
                  <c:v>112.69573960492758</c:v>
                </c:pt>
                <c:pt idx="374">
                  <c:v>110.4189871289902</c:v>
                </c:pt>
                <c:pt idx="375">
                  <c:v>112.40620609755676</c:v>
                </c:pt>
                <c:pt idx="376">
                  <c:v>112.50475308305616</c:v>
                </c:pt>
                <c:pt idx="377">
                  <c:v>113.86934319698113</c:v>
                </c:pt>
                <c:pt idx="378">
                  <c:v>110.66770550538394</c:v>
                </c:pt>
                <c:pt idx="379">
                  <c:v>110.62576534693549</c:v>
                </c:pt>
                <c:pt idx="380">
                  <c:v>111.83988907333847</c:v>
                </c:pt>
                <c:pt idx="381">
                  <c:v>111.52336392747094</c:v>
                </c:pt>
                <c:pt idx="382">
                  <c:v>111.68724219037802</c:v>
                </c:pt>
                <c:pt idx="383">
                  <c:v>110.78238795428602</c:v>
                </c:pt>
                <c:pt idx="384">
                  <c:v>109.06860515035379</c:v>
                </c:pt>
                <c:pt idx="385">
                  <c:v>107.35695570739854</c:v>
                </c:pt>
                <c:pt idx="386">
                  <c:v>106.24680580011292</c:v>
                </c:pt>
                <c:pt idx="387">
                  <c:v>105.85626397047716</c:v>
                </c:pt>
                <c:pt idx="388">
                  <c:v>106.35114309148065</c:v>
                </c:pt>
                <c:pt idx="389">
                  <c:v>106.92622294011629</c:v>
                </c:pt>
                <c:pt idx="390">
                  <c:v>107.70887967201863</c:v>
                </c:pt>
                <c:pt idx="391">
                  <c:v>109.76032397498626</c:v>
                </c:pt>
                <c:pt idx="392">
                  <c:v>108.6740358708804</c:v>
                </c:pt>
                <c:pt idx="393">
                  <c:v>106.73995318329398</c:v>
                </c:pt>
                <c:pt idx="394">
                  <c:v>105.03358299791894</c:v>
                </c:pt>
                <c:pt idx="395">
                  <c:v>106.17995477865371</c:v>
                </c:pt>
                <c:pt idx="396">
                  <c:v>105.38520836002134</c:v>
                </c:pt>
                <c:pt idx="397">
                  <c:v>104.06582402034341</c:v>
                </c:pt>
                <c:pt idx="398">
                  <c:v>106.89259871241603</c:v>
                </c:pt>
                <c:pt idx="399">
                  <c:v>107.69489373191914</c:v>
                </c:pt>
                <c:pt idx="400">
                  <c:v>109.35877721928868</c:v>
                </c:pt>
                <c:pt idx="401">
                  <c:v>110.13175692300352</c:v>
                </c:pt>
                <c:pt idx="402">
                  <c:v>111.26989360243218</c:v>
                </c:pt>
                <c:pt idx="403">
                  <c:v>107.16927267440369</c:v>
                </c:pt>
                <c:pt idx="404">
                  <c:v>106.36109137953754</c:v>
                </c:pt>
                <c:pt idx="405">
                  <c:v>105.90021004834358</c:v>
                </c:pt>
                <c:pt idx="406">
                  <c:v>106.51492094268383</c:v>
                </c:pt>
                <c:pt idx="407">
                  <c:v>105.0003465334616</c:v>
                </c:pt>
                <c:pt idx="408">
                  <c:v>107.88857897714425</c:v>
                </c:pt>
                <c:pt idx="409">
                  <c:v>108.02164586253215</c:v>
                </c:pt>
                <c:pt idx="410">
                  <c:v>106.30830682688462</c:v>
                </c:pt>
                <c:pt idx="411">
                  <c:v>105.65520293793998</c:v>
                </c:pt>
                <c:pt idx="412">
                  <c:v>105.43299945329919</c:v>
                </c:pt>
                <c:pt idx="413">
                  <c:v>105.19281816996616</c:v>
                </c:pt>
                <c:pt idx="414">
                  <c:v>105.78392065712738</c:v>
                </c:pt>
                <c:pt idx="415">
                  <c:v>105.62352304251731</c:v>
                </c:pt>
                <c:pt idx="416">
                  <c:v>105.31195535972195</c:v>
                </c:pt>
                <c:pt idx="417">
                  <c:v>104.11636674872034</c:v>
                </c:pt>
                <c:pt idx="418">
                  <c:v>101.0357869133978</c:v>
                </c:pt>
                <c:pt idx="419">
                  <c:v>99.497935903570749</c:v>
                </c:pt>
                <c:pt idx="420">
                  <c:v>100.89264772859065</c:v>
                </c:pt>
                <c:pt idx="421">
                  <c:v>101.51570246198528</c:v>
                </c:pt>
                <c:pt idx="422">
                  <c:v>101.08903774547129</c:v>
                </c:pt>
                <c:pt idx="423">
                  <c:v>101.96297891624145</c:v>
                </c:pt>
                <c:pt idx="424">
                  <c:v>99.653002491289413</c:v>
                </c:pt>
                <c:pt idx="425">
                  <c:v>100.92664311588577</c:v>
                </c:pt>
                <c:pt idx="426">
                  <c:v>101.48569758223194</c:v>
                </c:pt>
                <c:pt idx="427">
                  <c:v>101.0166203789842</c:v>
                </c:pt>
                <c:pt idx="428">
                  <c:v>102.88172160680469</c:v>
                </c:pt>
                <c:pt idx="429">
                  <c:v>100.83826142955441</c:v>
                </c:pt>
                <c:pt idx="430">
                  <c:v>102.2744165780407</c:v>
                </c:pt>
                <c:pt idx="431">
                  <c:v>102.9654578207784</c:v>
                </c:pt>
                <c:pt idx="432">
                  <c:v>105.51563908264293</c:v>
                </c:pt>
                <c:pt idx="433">
                  <c:v>107.34865125502738</c:v>
                </c:pt>
                <c:pt idx="434">
                  <c:v>107.52551777310256</c:v>
                </c:pt>
                <c:pt idx="435">
                  <c:v>107.02471031357898</c:v>
                </c:pt>
                <c:pt idx="436">
                  <c:v>107.59746904053246</c:v>
                </c:pt>
                <c:pt idx="437">
                  <c:v>108.01475733735987</c:v>
                </c:pt>
                <c:pt idx="438">
                  <c:v>105.82259766671143</c:v>
                </c:pt>
                <c:pt idx="439">
                  <c:v>105.12884466055772</c:v>
                </c:pt>
                <c:pt idx="440">
                  <c:v>107.44584274394907</c:v>
                </c:pt>
                <c:pt idx="441">
                  <c:v>107.54929712254931</c:v>
                </c:pt>
                <c:pt idx="442">
                  <c:v>105.49424705470956</c:v>
                </c:pt>
                <c:pt idx="443">
                  <c:v>107.76307189816977</c:v>
                </c:pt>
                <c:pt idx="444">
                  <c:v>109.27847291157917</c:v>
                </c:pt>
                <c:pt idx="445">
                  <c:v>109.92487617768465</c:v>
                </c:pt>
                <c:pt idx="446">
                  <c:v>109.29650704471476</c:v>
                </c:pt>
                <c:pt idx="447">
                  <c:v>106.76870846197751</c:v>
                </c:pt>
                <c:pt idx="448">
                  <c:v>105.39921170850947</c:v>
                </c:pt>
                <c:pt idx="449">
                  <c:v>104.40777653569405</c:v>
                </c:pt>
                <c:pt idx="450">
                  <c:v>103.96107339173638</c:v>
                </c:pt>
                <c:pt idx="451">
                  <c:v>104.12695528393344</c:v>
                </c:pt>
                <c:pt idx="452">
                  <c:v>102.30950959941256</c:v>
                </c:pt>
                <c:pt idx="453">
                  <c:v>103.17473586820839</c:v>
                </c:pt>
                <c:pt idx="454">
                  <c:v>103.59049209503344</c:v>
                </c:pt>
                <c:pt idx="455">
                  <c:v>103.00574163326364</c:v>
                </c:pt>
                <c:pt idx="456">
                  <c:v>103.82563287403012</c:v>
                </c:pt>
                <c:pt idx="457">
                  <c:v>105.60673754255309</c:v>
                </c:pt>
                <c:pt idx="458">
                  <c:v>103.25503059563617</c:v>
                </c:pt>
                <c:pt idx="459">
                  <c:v>105.0613475342598</c:v>
                </c:pt>
                <c:pt idx="460">
                  <c:v>104.23229476239838</c:v>
                </c:pt>
                <c:pt idx="461">
                  <c:v>103.00198943939797</c:v>
                </c:pt>
                <c:pt idx="462">
                  <c:v>102.54786606596821</c:v>
                </c:pt>
                <c:pt idx="463">
                  <c:v>103.87146720456735</c:v>
                </c:pt>
                <c:pt idx="464">
                  <c:v>104.22863514230598</c:v>
                </c:pt>
                <c:pt idx="465">
                  <c:v>106.21313871329767</c:v>
                </c:pt>
                <c:pt idx="466">
                  <c:v>106.63993286601814</c:v>
                </c:pt>
                <c:pt idx="467">
                  <c:v>104.86722881108197</c:v>
                </c:pt>
                <c:pt idx="468">
                  <c:v>105.37233873990087</c:v>
                </c:pt>
                <c:pt idx="469">
                  <c:v>106.52908824991218</c:v>
                </c:pt>
                <c:pt idx="470">
                  <c:v>106.88134223926264</c:v>
                </c:pt>
                <c:pt idx="471">
                  <c:v>104.6660336342121</c:v>
                </c:pt>
                <c:pt idx="472">
                  <c:v>104.6968545550663</c:v>
                </c:pt>
                <c:pt idx="473">
                  <c:v>102.81239130705391</c:v>
                </c:pt>
                <c:pt idx="474">
                  <c:v>104.06166693185492</c:v>
                </c:pt>
                <c:pt idx="475">
                  <c:v>103.87003443333151</c:v>
                </c:pt>
                <c:pt idx="476">
                  <c:v>105.39511886541629</c:v>
                </c:pt>
                <c:pt idx="477">
                  <c:v>104.57527474412483</c:v>
                </c:pt>
                <c:pt idx="478">
                  <c:v>106.55521794770056</c:v>
                </c:pt>
                <c:pt idx="479">
                  <c:v>107.96036076954368</c:v>
                </c:pt>
                <c:pt idx="480">
                  <c:v>108.62731975880217</c:v>
                </c:pt>
                <c:pt idx="481">
                  <c:v>107.77667207757216</c:v>
                </c:pt>
                <c:pt idx="482">
                  <c:v>107.15566549513429</c:v>
                </c:pt>
                <c:pt idx="483">
                  <c:v>106.2306900215974</c:v>
                </c:pt>
                <c:pt idx="484">
                  <c:v>108.36239127548609</c:v>
                </c:pt>
                <c:pt idx="485">
                  <c:v>109.28520182088064</c:v>
                </c:pt>
                <c:pt idx="486">
                  <c:v>108.9600082728757</c:v>
                </c:pt>
                <c:pt idx="487">
                  <c:v>111.34275769170254</c:v>
                </c:pt>
                <c:pt idx="488">
                  <c:v>113.27381885945674</c:v>
                </c:pt>
                <c:pt idx="489">
                  <c:v>112.55562375030519</c:v>
                </c:pt>
                <c:pt idx="490">
                  <c:v>113.15324481830258</c:v>
                </c:pt>
                <c:pt idx="491">
                  <c:v>112.60886449454455</c:v>
                </c:pt>
                <c:pt idx="492">
                  <c:v>113.35001899919408</c:v>
                </c:pt>
                <c:pt idx="493">
                  <c:v>114.77448220078081</c:v>
                </c:pt>
                <c:pt idx="494">
                  <c:v>112.22485509946318</c:v>
                </c:pt>
                <c:pt idx="495">
                  <c:v>113.0627914856311</c:v>
                </c:pt>
                <c:pt idx="496">
                  <c:v>112.17793978187306</c:v>
                </c:pt>
                <c:pt idx="497">
                  <c:v>111.42893071656029</c:v>
                </c:pt>
                <c:pt idx="498">
                  <c:v>111.24206997080236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7-4B68-8425-E2DF10D60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6505656"/>
        <c:axId val="666507952"/>
      </c:lineChart>
      <c:catAx>
        <c:axId val="666505656"/>
        <c:scaling>
          <c:orientation val="minMax"/>
        </c:scaling>
        <c:delete val="0"/>
        <c:axPos val="b"/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507952"/>
        <c:crosses val="autoZero"/>
        <c:auto val="1"/>
        <c:lblAlgn val="ctr"/>
        <c:lblOffset val="100"/>
        <c:noMultiLvlLbl val="0"/>
      </c:catAx>
      <c:valAx>
        <c:axId val="66650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505656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7</xdr:row>
          <xdr:rowOff>123825</xdr:rowOff>
        </xdr:from>
        <xdr:to>
          <xdr:col>11</xdr:col>
          <xdr:colOff>581025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57149</xdr:colOff>
      <xdr:row>0</xdr:row>
      <xdr:rowOff>76199</xdr:rowOff>
    </xdr:from>
    <xdr:to>
      <xdr:col>10</xdr:col>
      <xdr:colOff>485774</xdr:colOff>
      <xdr:row>13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104775</xdr:colOff>
      <xdr:row>13</xdr:row>
      <xdr:rowOff>123825</xdr:rowOff>
    </xdr:from>
    <xdr:to>
      <xdr:col>4</xdr:col>
      <xdr:colOff>514350</xdr:colOff>
      <xdr:row>21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12A07-37A4-4D8A-91A4-090A472A6E0F}">
  <sheetPr codeName="Sheet1"/>
  <dimension ref="A3:X510"/>
  <sheetViews>
    <sheetView tabSelected="1" workbookViewId="0">
      <selection activeCell="M8" sqref="M8"/>
    </sheetView>
  </sheetViews>
  <sheetFormatPr defaultRowHeight="15" x14ac:dyDescent="0.25"/>
  <cols>
    <col min="11" max="11" width="9.140625" customWidth="1"/>
    <col min="12" max="12" width="17.5703125" customWidth="1"/>
  </cols>
  <sheetData>
    <row r="3" spans="1:24" x14ac:dyDescent="0.25">
      <c r="L3" s="2" t="s">
        <v>9</v>
      </c>
      <c r="M3">
        <v>50042982395.315811</v>
      </c>
    </row>
    <row r="4" spans="1:24" x14ac:dyDescent="0.25">
      <c r="A4" t="s">
        <v>0</v>
      </c>
      <c r="C4" t="s">
        <v>1</v>
      </c>
      <c r="D4" t="s">
        <v>2</v>
      </c>
      <c r="L4" s="2" t="s">
        <v>10</v>
      </c>
      <c r="M4">
        <f>M3/K24</f>
        <v>10008596.479063163</v>
      </c>
    </row>
    <row r="5" spans="1:24" x14ac:dyDescent="0.25">
      <c r="A5" t="s">
        <v>3</v>
      </c>
      <c r="C5">
        <v>100</v>
      </c>
      <c r="D5">
        <v>100</v>
      </c>
      <c r="L5" s="2" t="s">
        <v>11</v>
      </c>
      <c r="M5">
        <f>M4-K25</f>
        <v>107606.38005326129</v>
      </c>
    </row>
    <row r="6" spans="1:24" x14ac:dyDescent="0.25">
      <c r="A6" t="s">
        <v>4</v>
      </c>
      <c r="C6" s="1">
        <v>0.2</v>
      </c>
      <c r="D6" s="1">
        <v>0.2</v>
      </c>
      <c r="L6" s="2" t="s">
        <v>12</v>
      </c>
      <c r="M6" s="3">
        <f>M5/H22</f>
        <v>1.076063800532613E-2</v>
      </c>
    </row>
    <row r="7" spans="1:24" x14ac:dyDescent="0.25">
      <c r="A7" t="s">
        <v>5</v>
      </c>
      <c r="C7" s="1">
        <v>0.08</v>
      </c>
      <c r="D7" s="1">
        <v>0.08</v>
      </c>
    </row>
    <row r="8" spans="1:24" x14ac:dyDescent="0.25">
      <c r="A8" t="s">
        <v>6</v>
      </c>
      <c r="C8">
        <f>1/240</f>
        <v>4.1666666666666666E-3</v>
      </c>
      <c r="D8">
        <f>1/240</f>
        <v>4.1666666666666666E-3</v>
      </c>
    </row>
    <row r="9" spans="1:24" x14ac:dyDescent="0.25">
      <c r="A9" t="s">
        <v>7</v>
      </c>
      <c r="C9">
        <v>0</v>
      </c>
    </row>
    <row r="10" spans="1:24" x14ac:dyDescent="0.25">
      <c r="N10" t="s">
        <v>13</v>
      </c>
      <c r="T10" t="s">
        <v>19</v>
      </c>
    </row>
    <row r="11" spans="1:24" x14ac:dyDescent="0.25">
      <c r="A11" t="s">
        <v>8</v>
      </c>
      <c r="N11" t="s">
        <v>14</v>
      </c>
      <c r="O11" t="s">
        <v>15</v>
      </c>
      <c r="P11" t="s">
        <v>16</v>
      </c>
      <c r="Q11" t="s">
        <v>17</v>
      </c>
      <c r="R11" t="s">
        <v>18</v>
      </c>
      <c r="T11" t="s">
        <v>14</v>
      </c>
      <c r="U11" t="s">
        <v>15</v>
      </c>
      <c r="V11" t="s">
        <v>16</v>
      </c>
      <c r="W11" t="s">
        <v>17</v>
      </c>
      <c r="X11" t="s">
        <v>18</v>
      </c>
    </row>
    <row r="12" spans="1:24" x14ac:dyDescent="0.25">
      <c r="A12">
        <f>MIN(R12,X12)</f>
        <v>100</v>
      </c>
      <c r="N12">
        <v>0</v>
      </c>
      <c r="R12">
        <f>S0</f>
        <v>100</v>
      </c>
      <c r="T12">
        <v>0</v>
      </c>
      <c r="X12">
        <f>S0_2</f>
        <v>100</v>
      </c>
    </row>
    <row r="13" spans="1:24" x14ac:dyDescent="0.25">
      <c r="A13">
        <f t="shared" ref="A13:A76" ca="1" si="0">MIN(R13,X13)</f>
        <v>100.02400981342802</v>
      </c>
      <c r="L13">
        <f>175000</f>
        <v>175000</v>
      </c>
      <c r="N13">
        <f>N12+$C$8</f>
        <v>4.1666666666666666E-3</v>
      </c>
      <c r="O13" cm="1">
        <f t="array" ref="O13">mu*dt_1*R12</f>
        <v>3.3333333333333333E-2</v>
      </c>
      <c r="P13">
        <f t="shared" ref="P13:P76" ca="1" si="1">_xlfn.NORM.INV(RAND(),0,1)*SQRT(dt_1)*sigma1*R12</f>
        <v>0.99867370313116854</v>
      </c>
      <c r="Q13">
        <f ca="1">O13+P13</f>
        <v>1.032007036464502</v>
      </c>
      <c r="R13">
        <f ca="1">R12+Q13</f>
        <v>101.03200703646451</v>
      </c>
      <c r="T13">
        <f t="shared" ref="T13:T76" si="2">T12+dt_2</f>
        <v>4.1666666666666666E-3</v>
      </c>
      <c r="U13">
        <f t="shared" ref="U13:U76" si="3">mu_2*X12*dt_2</f>
        <v>3.3333333333333333E-2</v>
      </c>
      <c r="V13">
        <f t="shared" ref="V13:V76" ca="1" si="4">(rho*P13/sigma1/R12+SQRT(1-rho^2)*_xlfn.NORM.INV(RAND(),0,1)*SQRT(dt_2))*sigma2*X12</f>
        <v>-9.3235199053049739E-3</v>
      </c>
      <c r="W13">
        <f ca="1">U13+V13</f>
        <v>2.4009813428028361E-2</v>
      </c>
      <c r="X13">
        <f ca="1">X12+W13</f>
        <v>100.02400981342802</v>
      </c>
    </row>
    <row r="14" spans="1:24" x14ac:dyDescent="0.25">
      <c r="A14">
        <f t="shared" ca="1" si="0"/>
        <v>99.828780161585215</v>
      </c>
      <c r="L14">
        <f>L13*35%</f>
        <v>61249.999999999993</v>
      </c>
      <c r="N14">
        <f t="shared" ref="N14:N77" si="5">N13+$C$8</f>
        <v>8.3333333333333332E-3</v>
      </c>
      <c r="O14" cm="1">
        <f t="array" aca="1" ref="O14" ca="1">mu*dt_1*R13</f>
        <v>3.3677335678821502E-2</v>
      </c>
      <c r="P14">
        <f t="shared" ca="1" si="1"/>
        <v>1.5601627391556434</v>
      </c>
      <c r="Q14">
        <f t="shared" ref="Q14:Q77" ca="1" si="6">O14+P14</f>
        <v>1.593840074834465</v>
      </c>
      <c r="R14">
        <f t="shared" ref="R14:R77" ca="1" si="7">R13+Q14</f>
        <v>102.62584711129897</v>
      </c>
      <c r="T14">
        <f t="shared" si="2"/>
        <v>8.3333333333333332E-3</v>
      </c>
      <c r="U14">
        <f t="shared" ca="1" si="3"/>
        <v>3.334133660447601E-2</v>
      </c>
      <c r="V14">
        <f t="shared" ca="1" si="4"/>
        <v>-0.2285709884472851</v>
      </c>
      <c r="W14">
        <f t="shared" ref="W14:W77" ca="1" si="8">U14+V14</f>
        <v>-0.1952296518428091</v>
      </c>
      <c r="X14">
        <f t="shared" ref="X14:X77" ca="1" si="9">X13+W14</f>
        <v>99.828780161585215</v>
      </c>
    </row>
    <row r="15" spans="1:24" x14ac:dyDescent="0.25">
      <c r="A15">
        <f t="shared" ca="1" si="0"/>
        <v>100.09249412484773</v>
      </c>
      <c r="N15">
        <f t="shared" si="5"/>
        <v>1.2500000000000001E-2</v>
      </c>
      <c r="O15" cm="1">
        <f t="array" aca="1" ref="O15" ca="1">mu*dt_1*R14</f>
        <v>3.4208615703766321E-2</v>
      </c>
      <c r="P15">
        <f t="shared" ca="1" si="1"/>
        <v>0.44324076472912893</v>
      </c>
      <c r="Q15">
        <f t="shared" ca="1" si="6"/>
        <v>0.47744938043289525</v>
      </c>
      <c r="R15">
        <f t="shared" ca="1" si="7"/>
        <v>103.10329649173187</v>
      </c>
      <c r="T15">
        <f t="shared" si="2"/>
        <v>1.2500000000000001E-2</v>
      </c>
      <c r="U15">
        <f t="shared" ca="1" si="3"/>
        <v>3.3276260053861736E-2</v>
      </c>
      <c r="V15">
        <f t="shared" ca="1" si="4"/>
        <v>0.23043770320865198</v>
      </c>
      <c r="W15">
        <f t="shared" ca="1" si="8"/>
        <v>0.26371396326251373</v>
      </c>
      <c r="X15">
        <f t="shared" ca="1" si="9"/>
        <v>100.09249412484773</v>
      </c>
    </row>
    <row r="16" spans="1:24" x14ac:dyDescent="0.25">
      <c r="A16">
        <f t="shared" ca="1" si="0"/>
        <v>99.113962319294885</v>
      </c>
      <c r="N16">
        <f t="shared" si="5"/>
        <v>1.6666666666666666E-2</v>
      </c>
      <c r="O16" cm="1">
        <f t="array" aca="1" ref="O16" ca="1">mu*dt_1*R15</f>
        <v>3.4367765497243956E-2</v>
      </c>
      <c r="P16">
        <f t="shared" ca="1" si="1"/>
        <v>1.2201012921649459</v>
      </c>
      <c r="Q16">
        <f t="shared" ca="1" si="6"/>
        <v>1.2544690576621897</v>
      </c>
      <c r="R16">
        <f t="shared" ca="1" si="7"/>
        <v>104.35776554939406</v>
      </c>
      <c r="T16">
        <f t="shared" si="2"/>
        <v>1.6666666666666666E-2</v>
      </c>
      <c r="U16">
        <f t="shared" ca="1" si="3"/>
        <v>3.3364164708282573E-2</v>
      </c>
      <c r="V16">
        <f t="shared" ca="1" si="4"/>
        <v>-1.0118959702611312</v>
      </c>
      <c r="W16">
        <f t="shared" ca="1" si="8"/>
        <v>-0.97853180555284869</v>
      </c>
      <c r="X16">
        <f t="shared" ca="1" si="9"/>
        <v>99.113962319294885</v>
      </c>
    </row>
    <row r="17" spans="1:24" x14ac:dyDescent="0.25">
      <c r="A17">
        <f t="shared" ca="1" si="0"/>
        <v>101.99259470889288</v>
      </c>
      <c r="N17">
        <f t="shared" si="5"/>
        <v>2.0833333333333332E-2</v>
      </c>
      <c r="O17" cm="1">
        <f t="array" aca="1" ref="O17" ca="1">mu*dt_1*R16</f>
        <v>3.4785921849798021E-2</v>
      </c>
      <c r="P17">
        <f t="shared" ca="1" si="1"/>
        <v>-1.0609068565556057</v>
      </c>
      <c r="Q17">
        <f t="shared" ca="1" si="6"/>
        <v>-1.0261209347058076</v>
      </c>
      <c r="R17">
        <f t="shared" ca="1" si="7"/>
        <v>103.33164461468826</v>
      </c>
      <c r="T17">
        <f t="shared" si="2"/>
        <v>2.0833333333333332E-2</v>
      </c>
      <c r="U17">
        <f t="shared" ca="1" si="3"/>
        <v>3.3037987439764965E-2</v>
      </c>
      <c r="V17">
        <f t="shared" ca="1" si="4"/>
        <v>2.8455944021582353</v>
      </c>
      <c r="W17">
        <f t="shared" ca="1" si="8"/>
        <v>2.8786323895980002</v>
      </c>
      <c r="X17">
        <f t="shared" ca="1" si="9"/>
        <v>101.99259470889288</v>
      </c>
    </row>
    <row r="18" spans="1:24" x14ac:dyDescent="0.25">
      <c r="A18">
        <f t="shared" ca="1" si="0"/>
        <v>101.88237139959575</v>
      </c>
      <c r="N18">
        <f t="shared" si="5"/>
        <v>2.4999999999999998E-2</v>
      </c>
      <c r="O18" cm="1">
        <f t="array" aca="1" ref="O18" ca="1">mu*dt_1*R17</f>
        <v>3.4443881538229415E-2</v>
      </c>
      <c r="P18">
        <f t="shared" ca="1" si="1"/>
        <v>0.57280969140411497</v>
      </c>
      <c r="Q18">
        <f t="shared" ca="1" si="6"/>
        <v>0.60725357294234439</v>
      </c>
      <c r="R18">
        <f t="shared" ca="1" si="7"/>
        <v>103.9388981876306</v>
      </c>
      <c r="T18">
        <f t="shared" si="2"/>
        <v>2.4999999999999998E-2</v>
      </c>
      <c r="U18">
        <f t="shared" ca="1" si="3"/>
        <v>3.3997531569630958E-2</v>
      </c>
      <c r="V18">
        <f t="shared" ca="1" si="4"/>
        <v>-0.14422084086675399</v>
      </c>
      <c r="W18">
        <f t="shared" ca="1" si="8"/>
        <v>-0.11022330929712304</v>
      </c>
      <c r="X18">
        <f t="shared" ca="1" si="9"/>
        <v>101.88237139959575</v>
      </c>
    </row>
    <row r="19" spans="1:24" x14ac:dyDescent="0.25">
      <c r="A19">
        <f t="shared" ca="1" si="0"/>
        <v>100.73328309122502</v>
      </c>
      <c r="N19">
        <f t="shared" si="5"/>
        <v>2.9166666666666664E-2</v>
      </c>
      <c r="O19" cm="1">
        <f t="array" aca="1" ref="O19" ca="1">mu*dt_1*R18</f>
        <v>3.4646299395876864E-2</v>
      </c>
      <c r="P19">
        <f t="shared" ca="1" si="1"/>
        <v>1.0580847756498952</v>
      </c>
      <c r="Q19">
        <f t="shared" ca="1" si="6"/>
        <v>1.0927310750457722</v>
      </c>
      <c r="R19">
        <f t="shared" ca="1" si="7"/>
        <v>105.03162926267638</v>
      </c>
      <c r="T19">
        <f t="shared" si="2"/>
        <v>2.9166666666666664E-2</v>
      </c>
      <c r="U19">
        <f t="shared" ca="1" si="3"/>
        <v>3.3960790466531915E-2</v>
      </c>
      <c r="V19">
        <f t="shared" ca="1" si="4"/>
        <v>-1.1830490988372722</v>
      </c>
      <c r="W19">
        <f t="shared" ca="1" si="8"/>
        <v>-1.1490883083707402</v>
      </c>
      <c r="X19">
        <f t="shared" ca="1" si="9"/>
        <v>100.73328309122502</v>
      </c>
    </row>
    <row r="20" spans="1:24" x14ac:dyDescent="0.25">
      <c r="A20">
        <f t="shared" ca="1" si="0"/>
        <v>102.49183792895182</v>
      </c>
      <c r="N20">
        <f t="shared" si="5"/>
        <v>3.3333333333333333E-2</v>
      </c>
      <c r="O20" cm="1">
        <f t="array" aca="1" ref="O20" ca="1">mu*dt_1*R19</f>
        <v>3.5010543087558792E-2</v>
      </c>
      <c r="P20">
        <f t="shared" ca="1" si="1"/>
        <v>-1.4585158985715443</v>
      </c>
      <c r="Q20">
        <f t="shared" ca="1" si="6"/>
        <v>-1.4235053554839856</v>
      </c>
      <c r="R20">
        <f t="shared" ca="1" si="7"/>
        <v>103.60812390719239</v>
      </c>
      <c r="T20">
        <f t="shared" si="2"/>
        <v>3.3333333333333333E-2</v>
      </c>
      <c r="U20">
        <f t="shared" ca="1" si="3"/>
        <v>3.357776103040834E-2</v>
      </c>
      <c r="V20">
        <f t="shared" ca="1" si="4"/>
        <v>1.724977076696393</v>
      </c>
      <c r="W20">
        <f t="shared" ca="1" si="8"/>
        <v>1.7585548377268014</v>
      </c>
      <c r="X20">
        <f t="shared" ca="1" si="9"/>
        <v>102.49183792895182</v>
      </c>
    </row>
    <row r="21" spans="1:24" x14ac:dyDescent="0.25">
      <c r="A21">
        <f t="shared" ca="1" si="0"/>
        <v>101.506227710245</v>
      </c>
      <c r="G21" t="s">
        <v>20</v>
      </c>
      <c r="N21">
        <f t="shared" si="5"/>
        <v>3.7499999999999999E-2</v>
      </c>
      <c r="O21" cm="1">
        <f t="array" aca="1" ref="O21" ca="1">mu*dt_1*R20</f>
        <v>3.4536041302397465E-2</v>
      </c>
      <c r="P21">
        <f t="shared" ca="1" si="1"/>
        <v>1.343513268359396</v>
      </c>
      <c r="Q21">
        <f t="shared" ca="1" si="6"/>
        <v>1.3780493096617934</v>
      </c>
      <c r="R21">
        <f t="shared" ca="1" si="7"/>
        <v>104.98617321685418</v>
      </c>
      <c r="T21">
        <f t="shared" si="2"/>
        <v>3.7499999999999999E-2</v>
      </c>
      <c r="U21">
        <f t="shared" ca="1" si="3"/>
        <v>3.4163945976317271E-2</v>
      </c>
      <c r="V21">
        <f t="shared" ca="1" si="4"/>
        <v>-1.0197741646831393</v>
      </c>
      <c r="W21">
        <f t="shared" ca="1" si="8"/>
        <v>-0.98561021870682208</v>
      </c>
      <c r="X21">
        <f t="shared" ca="1" si="9"/>
        <v>101.506227710245</v>
      </c>
    </row>
    <row r="22" spans="1:24" x14ac:dyDescent="0.25">
      <c r="A22">
        <f t="shared" ca="1" si="0"/>
        <v>101.71600359652207</v>
      </c>
      <c r="G22" t="s">
        <v>21</v>
      </c>
      <c r="H22">
        <v>10000000</v>
      </c>
      <c r="J22" t="s">
        <v>26</v>
      </c>
      <c r="K22" s="1">
        <v>0.12</v>
      </c>
      <c r="N22">
        <f t="shared" si="5"/>
        <v>4.1666666666666664E-2</v>
      </c>
      <c r="O22" cm="1">
        <f t="array" aca="1" ref="O22" ca="1">mu*dt_1*R21</f>
        <v>3.4995391072284728E-2</v>
      </c>
      <c r="P22">
        <f t="shared" ca="1" si="1"/>
        <v>-3.3051650114043962</v>
      </c>
      <c r="Q22">
        <f t="shared" ca="1" si="6"/>
        <v>-3.2701696203321116</v>
      </c>
      <c r="R22">
        <f t="shared" ca="1" si="7"/>
        <v>101.71600359652207</v>
      </c>
      <c r="T22">
        <f t="shared" si="2"/>
        <v>4.1666666666666664E-2</v>
      </c>
      <c r="U22">
        <f t="shared" ca="1" si="3"/>
        <v>3.3835409236748333E-2</v>
      </c>
      <c r="V22">
        <f t="shared" ca="1" si="4"/>
        <v>0.51447408653611693</v>
      </c>
      <c r="W22">
        <f t="shared" ca="1" si="8"/>
        <v>0.54830949577286525</v>
      </c>
      <c r="X22">
        <f t="shared" ca="1" si="9"/>
        <v>102.05453720601787</v>
      </c>
    </row>
    <row r="23" spans="1:24" x14ac:dyDescent="0.25">
      <c r="A23">
        <f t="shared" ca="1" si="0"/>
        <v>100.05552209496901</v>
      </c>
      <c r="G23" t="s">
        <v>22</v>
      </c>
      <c r="H23">
        <v>6</v>
      </c>
      <c r="J23" t="s">
        <v>27</v>
      </c>
      <c r="K23" s="1">
        <v>0.02</v>
      </c>
      <c r="N23">
        <f t="shared" si="5"/>
        <v>4.583333333333333E-2</v>
      </c>
      <c r="O23" cm="1">
        <f t="array" aca="1" ref="O23" ca="1">mu*dt_1*R22</f>
        <v>3.3905334532174022E-2</v>
      </c>
      <c r="P23">
        <f t="shared" ca="1" si="1"/>
        <v>-1.6145118826592275</v>
      </c>
      <c r="Q23">
        <f t="shared" ca="1" si="6"/>
        <v>-1.5806065481270535</v>
      </c>
      <c r="R23">
        <f t="shared" ca="1" si="7"/>
        <v>100.13539704839502</v>
      </c>
      <c r="T23">
        <f t="shared" si="2"/>
        <v>4.583333333333333E-2</v>
      </c>
      <c r="U23">
        <f t="shared" ca="1" si="3"/>
        <v>3.4018179068672626E-2</v>
      </c>
      <c r="V23">
        <f t="shared" ca="1" si="4"/>
        <v>-2.0330332901175359</v>
      </c>
      <c r="W23">
        <f t="shared" ca="1" si="8"/>
        <v>-1.9990151110488632</v>
      </c>
      <c r="X23">
        <f t="shared" ca="1" si="9"/>
        <v>100.05552209496901</v>
      </c>
    </row>
    <row r="24" spans="1:24" x14ac:dyDescent="0.25">
      <c r="A24">
        <f t="shared" ca="1" si="0"/>
        <v>98.355192350095763</v>
      </c>
      <c r="G24" t="s">
        <v>23</v>
      </c>
      <c r="H24" s="1">
        <v>1</v>
      </c>
      <c r="J24" t="s">
        <v>28</v>
      </c>
      <c r="K24">
        <v>5000</v>
      </c>
      <c r="N24">
        <f t="shared" si="5"/>
        <v>4.9999999999999996E-2</v>
      </c>
      <c r="O24" cm="1">
        <f t="array" aca="1" ref="O24" ca="1">mu*dt_1*R23</f>
        <v>3.3378465682798342E-2</v>
      </c>
      <c r="P24">
        <f t="shared" ca="1" si="1"/>
        <v>-2.7575263076275121E-2</v>
      </c>
      <c r="Q24">
        <f t="shared" ca="1" si="6"/>
        <v>5.8032026065232209E-3</v>
      </c>
      <c r="R24">
        <f t="shared" ca="1" si="7"/>
        <v>100.14120025100155</v>
      </c>
      <c r="T24">
        <f t="shared" si="2"/>
        <v>4.9999999999999996E-2</v>
      </c>
      <c r="U24">
        <f t="shared" ca="1" si="3"/>
        <v>3.3351840698323004E-2</v>
      </c>
      <c r="V24">
        <f t="shared" ca="1" si="4"/>
        <v>-1.7336815855715686</v>
      </c>
      <c r="W24">
        <f t="shared" ca="1" si="8"/>
        <v>-1.7003297448732455</v>
      </c>
      <c r="X24">
        <f t="shared" ca="1" si="9"/>
        <v>98.355192350095763</v>
      </c>
    </row>
    <row r="25" spans="1:24" x14ac:dyDescent="0.25">
      <c r="A25">
        <f t="shared" ca="1" si="0"/>
        <v>98.566076852176167</v>
      </c>
      <c r="G25" t="s">
        <v>24</v>
      </c>
      <c r="H25" s="1">
        <v>1</v>
      </c>
      <c r="J25" t="s">
        <v>29</v>
      </c>
      <c r="K25">
        <f>H22/(1+K23*F36/12)</f>
        <v>9900990.0990099013</v>
      </c>
      <c r="N25">
        <f t="shared" si="5"/>
        <v>5.4166666666666662E-2</v>
      </c>
      <c r="O25" cm="1">
        <f t="array" aca="1" ref="O25" ca="1">mu*dt_1*R24</f>
        <v>3.3380400083667182E-2</v>
      </c>
      <c r="P25">
        <f t="shared" ca="1" si="1"/>
        <v>0.31683881693675486</v>
      </c>
      <c r="Q25">
        <f t="shared" ca="1" si="6"/>
        <v>0.35021921702042202</v>
      </c>
      <c r="R25">
        <f t="shared" ca="1" si="7"/>
        <v>100.49141946802197</v>
      </c>
      <c r="T25">
        <f t="shared" si="2"/>
        <v>5.4166666666666662E-2</v>
      </c>
      <c r="U25">
        <f t="shared" ca="1" si="3"/>
        <v>3.2785064116698591E-2</v>
      </c>
      <c r="V25">
        <f t="shared" ca="1" si="4"/>
        <v>0.17809943796370026</v>
      </c>
      <c r="W25">
        <f t="shared" ca="1" si="8"/>
        <v>0.21088450208039886</v>
      </c>
      <c r="X25">
        <f t="shared" ca="1" si="9"/>
        <v>98.566076852176167</v>
      </c>
    </row>
    <row r="26" spans="1:24" x14ac:dyDescent="0.25">
      <c r="A26">
        <f t="shared" ca="1" si="0"/>
        <v>97.687985206070479</v>
      </c>
      <c r="G26" t="s">
        <v>25</v>
      </c>
      <c r="H26" s="1">
        <v>0.8</v>
      </c>
      <c r="N26">
        <f t="shared" si="5"/>
        <v>5.8333333333333327E-2</v>
      </c>
      <c r="O26" cm="1">
        <f t="array" aca="1" ref="O26" ca="1">mu*dt_1*R25</f>
        <v>3.3497139822673987E-2</v>
      </c>
      <c r="P26">
        <f t="shared" ca="1" si="1"/>
        <v>0.19365302984360866</v>
      </c>
      <c r="Q26">
        <f t="shared" ca="1" si="6"/>
        <v>0.22715016966628265</v>
      </c>
      <c r="R26">
        <f t="shared" ca="1" si="7"/>
        <v>100.71856963768826</v>
      </c>
      <c r="T26">
        <f t="shared" si="2"/>
        <v>5.8333333333333327E-2</v>
      </c>
      <c r="U26">
        <f t="shared" ca="1" si="3"/>
        <v>3.2855358950725388E-2</v>
      </c>
      <c r="V26">
        <f t="shared" ca="1" si="4"/>
        <v>-0.91094700505641324</v>
      </c>
      <c r="W26">
        <f t="shared" ca="1" si="8"/>
        <v>-0.8780916461056878</v>
      </c>
      <c r="X26">
        <f t="shared" ca="1" si="9"/>
        <v>97.687985206070479</v>
      </c>
    </row>
    <row r="27" spans="1:24" x14ac:dyDescent="0.25">
      <c r="A27">
        <f t="shared" ca="1" si="0"/>
        <v>98.239711805279057</v>
      </c>
      <c r="N27">
        <f t="shared" si="5"/>
        <v>6.2499999999999993E-2</v>
      </c>
      <c r="O27" cm="1">
        <f t="array" aca="1" ref="O27" ca="1">mu*dt_1*R26</f>
        <v>3.3572856545896083E-2</v>
      </c>
      <c r="P27">
        <f t="shared" ca="1" si="1"/>
        <v>0.51097963586552353</v>
      </c>
      <c r="Q27">
        <f t="shared" ca="1" si="6"/>
        <v>0.54455249241141956</v>
      </c>
      <c r="R27">
        <f t="shared" ca="1" si="7"/>
        <v>101.26312213009967</v>
      </c>
      <c r="T27">
        <f t="shared" si="2"/>
        <v>6.2499999999999993E-2</v>
      </c>
      <c r="U27">
        <f t="shared" ca="1" si="3"/>
        <v>3.2562661735356824E-2</v>
      </c>
      <c r="V27">
        <f t="shared" ca="1" si="4"/>
        <v>0.5191639374732222</v>
      </c>
      <c r="W27">
        <f t="shared" ca="1" si="8"/>
        <v>0.55172659920857903</v>
      </c>
      <c r="X27">
        <f t="shared" ca="1" si="9"/>
        <v>98.239711805279057</v>
      </c>
    </row>
    <row r="28" spans="1:24" x14ac:dyDescent="0.25">
      <c r="A28">
        <f t="shared" ca="1" si="0"/>
        <v>97.720715844531469</v>
      </c>
      <c r="N28">
        <f t="shared" si="5"/>
        <v>6.6666666666666666E-2</v>
      </c>
      <c r="O28" cm="1">
        <f t="array" aca="1" ref="O28" ca="1">mu*dt_1*R27</f>
        <v>3.3754374043366557E-2</v>
      </c>
      <c r="P28">
        <f t="shared" ca="1" si="1"/>
        <v>0.18719283814581728</v>
      </c>
      <c r="Q28">
        <f t="shared" ca="1" si="6"/>
        <v>0.22094721218918384</v>
      </c>
      <c r="R28">
        <f t="shared" ca="1" si="7"/>
        <v>101.48406934228886</v>
      </c>
      <c r="T28">
        <f t="shared" si="2"/>
        <v>6.6666666666666666E-2</v>
      </c>
      <c r="U28">
        <f t="shared" ca="1" si="3"/>
        <v>3.2746570601759686E-2</v>
      </c>
      <c r="V28">
        <f t="shared" ca="1" si="4"/>
        <v>-0.55174253134934292</v>
      </c>
      <c r="W28">
        <f t="shared" ca="1" si="8"/>
        <v>-0.51899596074758325</v>
      </c>
      <c r="X28">
        <f t="shared" ca="1" si="9"/>
        <v>97.720715844531469</v>
      </c>
    </row>
    <row r="29" spans="1:24" x14ac:dyDescent="0.25">
      <c r="A29">
        <f t="shared" ca="1" si="0"/>
        <v>99.224841622054143</v>
      </c>
      <c r="G29" t="s">
        <v>30</v>
      </c>
      <c r="H29" t="str">
        <f ca="1">IF(MIN(A12:A132)&lt;H26*A12,"Yes","No")</f>
        <v>No</v>
      </c>
      <c r="I29" s="3">
        <f ca="1">IF(AND(H29="Yes",H31="No",H32="No",H33="No",H34="No",H35="No",H36="No"),MIN(0,A132-A12)/A12,0)</f>
        <v>0</v>
      </c>
      <c r="N29">
        <f t="shared" si="5"/>
        <v>7.0833333333333331E-2</v>
      </c>
      <c r="O29" cm="1">
        <f t="array" aca="1" ref="O29" ca="1">mu*dt_1*R28</f>
        <v>3.3828023114096287E-2</v>
      </c>
      <c r="P29">
        <f t="shared" ca="1" si="1"/>
        <v>-0.98469988143500309</v>
      </c>
      <c r="Q29">
        <f t="shared" ca="1" si="6"/>
        <v>-0.95087185832090682</v>
      </c>
      <c r="R29">
        <f t="shared" ca="1" si="7"/>
        <v>100.53319748396795</v>
      </c>
      <c r="T29">
        <f t="shared" si="2"/>
        <v>7.0833333333333331E-2</v>
      </c>
      <c r="U29">
        <f t="shared" ca="1" si="3"/>
        <v>3.2573571948177157E-2</v>
      </c>
      <c r="V29">
        <f t="shared" ca="1" si="4"/>
        <v>1.4715522055744932</v>
      </c>
      <c r="W29">
        <f t="shared" ca="1" si="8"/>
        <v>1.5041257775226704</v>
      </c>
      <c r="X29">
        <f t="shared" ca="1" si="9"/>
        <v>99.224841622054143</v>
      </c>
    </row>
    <row r="30" spans="1:24" x14ac:dyDescent="0.25">
      <c r="A30">
        <f t="shared" ca="1" si="0"/>
        <v>97.111314064530006</v>
      </c>
      <c r="G30" t="s">
        <v>31</v>
      </c>
      <c r="I30" t="s">
        <v>26</v>
      </c>
      <c r="J30" t="s">
        <v>21</v>
      </c>
      <c r="K30" t="s">
        <v>33</v>
      </c>
      <c r="L30" t="s">
        <v>34</v>
      </c>
      <c r="N30">
        <f t="shared" si="5"/>
        <v>7.4999999999999997E-2</v>
      </c>
      <c r="O30" cm="1">
        <f t="array" aca="1" ref="O30" ca="1">mu*dt_1*R29</f>
        <v>3.3511065827989316E-2</v>
      </c>
      <c r="P30">
        <f t="shared" ca="1" si="1"/>
        <v>-0.77252144369752151</v>
      </c>
      <c r="Q30">
        <f t="shared" ca="1" si="6"/>
        <v>-0.73901037786953216</v>
      </c>
      <c r="R30">
        <f t="shared" ca="1" si="7"/>
        <v>99.79418710609842</v>
      </c>
      <c r="T30">
        <f t="shared" si="2"/>
        <v>7.4999999999999997E-2</v>
      </c>
      <c r="U30">
        <f t="shared" ca="1" si="3"/>
        <v>3.3074947207351379E-2</v>
      </c>
      <c r="V30">
        <f t="shared" ca="1" si="4"/>
        <v>-2.1466025047314807</v>
      </c>
      <c r="W30">
        <f t="shared" ca="1" si="8"/>
        <v>-2.1135275575241295</v>
      </c>
      <c r="X30">
        <f t="shared" ca="1" si="9"/>
        <v>97.111314064530006</v>
      </c>
    </row>
    <row r="31" spans="1:24" x14ac:dyDescent="0.25">
      <c r="A31">
        <f t="shared" ca="1" si="0"/>
        <v>98.228284624731188</v>
      </c>
      <c r="E31">
        <f ca="1">A32</f>
        <v>97.399760792296405</v>
      </c>
      <c r="F31">
        <v>1</v>
      </c>
      <c r="G31" t="s">
        <v>32</v>
      </c>
      <c r="H31" t="str">
        <f ca="1">IF(A32&gt;$H$25*$A$12,"Yes","No")</f>
        <v>No</v>
      </c>
      <c r="I31" s="3">
        <f ca="1">IF(H31="No",$K$22/12,0)</f>
        <v>0.01</v>
      </c>
      <c r="J31">
        <f ca="1">IF(H31="Yes",$H$22,0)</f>
        <v>0</v>
      </c>
      <c r="K31">
        <f>1/(1+$K$23*F31/12)</f>
        <v>0.99833610648918469</v>
      </c>
      <c r="L31">
        <f ca="1">(I31*$H$22+J31)*K31</f>
        <v>99833.610648918475</v>
      </c>
      <c r="N31">
        <f t="shared" si="5"/>
        <v>7.9166666666666663E-2</v>
      </c>
      <c r="O31" cm="1">
        <f t="array" aca="1" ref="O31" ca="1">mu*dt_1*R30</f>
        <v>3.326472903536614E-2</v>
      </c>
      <c r="P31">
        <f t="shared" ca="1" si="1"/>
        <v>0.14385144145630455</v>
      </c>
      <c r="Q31">
        <f t="shared" ca="1" si="6"/>
        <v>0.17711617049167069</v>
      </c>
      <c r="R31">
        <f t="shared" ca="1" si="7"/>
        <v>99.971303276590092</v>
      </c>
      <c r="T31">
        <f t="shared" si="2"/>
        <v>7.9166666666666663E-2</v>
      </c>
      <c r="U31">
        <f t="shared" ca="1" si="3"/>
        <v>3.2370438021510003E-2</v>
      </c>
      <c r="V31">
        <f t="shared" ca="1" si="4"/>
        <v>1.0846001221796664</v>
      </c>
      <c r="W31">
        <f t="shared" ca="1" si="8"/>
        <v>1.1169705602011764</v>
      </c>
      <c r="X31">
        <f t="shared" ca="1" si="9"/>
        <v>98.228284624731188</v>
      </c>
    </row>
    <row r="32" spans="1:24" x14ac:dyDescent="0.25">
      <c r="A32">
        <f t="shared" ca="1" si="0"/>
        <v>97.399760792296405</v>
      </c>
      <c r="E32">
        <f ca="1">A52</f>
        <v>93.842081447339382</v>
      </c>
      <c r="F32">
        <v>2</v>
      </c>
      <c r="G32" t="s">
        <v>32</v>
      </c>
      <c r="H32" t="str">
        <f ca="1">IF(A52&gt;$H$25*$A$12,"Yes","No")</f>
        <v>No</v>
      </c>
      <c r="I32" s="3">
        <f ca="1">IF(AND(H31="No",H32="No"),$K$22/12,0)</f>
        <v>0.01</v>
      </c>
      <c r="J32">
        <f ca="1">IF(AND(H31="No",H32="Yes"),$H$22,0)</f>
        <v>0</v>
      </c>
      <c r="K32">
        <f t="shared" ref="K32:K36" si="10">1/(1+$K$23*F32/12)</f>
        <v>0.99667774086378735</v>
      </c>
      <c r="L32">
        <f t="shared" ref="L32:L35" ca="1" si="11">(I32*$H$22+J32)*K32</f>
        <v>99667.774086378733</v>
      </c>
      <c r="N32">
        <f t="shared" si="5"/>
        <v>8.3333333333333329E-2</v>
      </c>
      <c r="O32" cm="1">
        <f t="array" aca="1" ref="O32" ca="1">mu*dt_1*R31</f>
        <v>3.3323767758863365E-2</v>
      </c>
      <c r="P32">
        <f t="shared" ca="1" si="1"/>
        <v>-1.1394688794200172</v>
      </c>
      <c r="Q32">
        <f t="shared" ca="1" si="6"/>
        <v>-1.1061451116611538</v>
      </c>
      <c r="R32">
        <f t="shared" ca="1" si="7"/>
        <v>98.865158164928943</v>
      </c>
      <c r="T32">
        <f t="shared" si="2"/>
        <v>8.3333333333333329E-2</v>
      </c>
      <c r="U32">
        <f t="shared" ca="1" si="3"/>
        <v>3.2742761541577063E-2</v>
      </c>
      <c r="V32">
        <f t="shared" ca="1" si="4"/>
        <v>-0.8612665939763654</v>
      </c>
      <c r="W32">
        <f t="shared" ca="1" si="8"/>
        <v>-0.82852383243478833</v>
      </c>
      <c r="X32">
        <f t="shared" ca="1" si="9"/>
        <v>97.399760792296405</v>
      </c>
    </row>
    <row r="33" spans="1:24" x14ac:dyDescent="0.25">
      <c r="A33">
        <f t="shared" ca="1" si="0"/>
        <v>97.843809161936861</v>
      </c>
      <c r="E33">
        <f ca="1">A72</f>
        <v>95.318791398770045</v>
      </c>
      <c r="F33">
        <v>3</v>
      </c>
      <c r="G33" t="s">
        <v>32</v>
      </c>
      <c r="H33" t="str">
        <f ca="1">IF(A72&gt;$H$25*$A$12,"Yes","No")</f>
        <v>No</v>
      </c>
      <c r="I33" s="3">
        <f ca="1">IF(AND(H31="No",H32="No",H33="No"),$K$22/12,0)</f>
        <v>0.01</v>
      </c>
      <c r="J33">
        <f ca="1">IF(AND(H31="No",H32="No",H33="Yes"),$H$22,0)</f>
        <v>0</v>
      </c>
      <c r="K33">
        <f t="shared" si="10"/>
        <v>0.99502487562189068</v>
      </c>
      <c r="L33">
        <f t="shared" ca="1" si="11"/>
        <v>99502.487562189068</v>
      </c>
      <c r="N33">
        <f t="shared" si="5"/>
        <v>8.7499999999999994E-2</v>
      </c>
      <c r="O33" cm="1">
        <f t="array" aca="1" ref="O33" ca="1">mu*dt_1*R32</f>
        <v>3.295505272164298E-2</v>
      </c>
      <c r="P33">
        <f t="shared" ca="1" si="1"/>
        <v>1.1263250826893079</v>
      </c>
      <c r="Q33">
        <f t="shared" ca="1" si="6"/>
        <v>1.1592801354109508</v>
      </c>
      <c r="R33">
        <f t="shared" ca="1" si="7"/>
        <v>100.0244383003399</v>
      </c>
      <c r="T33">
        <f t="shared" si="2"/>
        <v>8.7499999999999994E-2</v>
      </c>
      <c r="U33">
        <f t="shared" ca="1" si="3"/>
        <v>3.246658693076547E-2</v>
      </c>
      <c r="V33">
        <f t="shared" ca="1" si="4"/>
        <v>0.41158178270968987</v>
      </c>
      <c r="W33">
        <f t="shared" ca="1" si="8"/>
        <v>0.44404836964045535</v>
      </c>
      <c r="X33">
        <f t="shared" ca="1" si="9"/>
        <v>97.843809161936861</v>
      </c>
    </row>
    <row r="34" spans="1:24" x14ac:dyDescent="0.25">
      <c r="A34">
        <f t="shared" ca="1" si="0"/>
        <v>98.829907043752328</v>
      </c>
      <c r="E34">
        <f ca="1">A92</f>
        <v>97.186053455101231</v>
      </c>
      <c r="F34">
        <v>4</v>
      </c>
      <c r="G34" t="s">
        <v>32</v>
      </c>
      <c r="H34" t="str">
        <f ca="1">IF(A92&gt;$H$25*$A$12,"Yes","No")</f>
        <v>No</v>
      </c>
      <c r="I34" s="3">
        <f ca="1">IF(AND(H31="No",H32="No",H33="No",H34="No"),$K$22/12,0)</f>
        <v>0.01</v>
      </c>
      <c r="J34">
        <f ca="1">IF(AND(H31="No",H32="No",H33="No",H34="Yes"),$H$22,0)</f>
        <v>0</v>
      </c>
      <c r="K34">
        <f t="shared" si="10"/>
        <v>0.99337748344370869</v>
      </c>
      <c r="L34">
        <f t="shared" ca="1" si="11"/>
        <v>99337.748344370862</v>
      </c>
      <c r="N34">
        <f t="shared" si="5"/>
        <v>9.166666666666666E-2</v>
      </c>
      <c r="O34" cm="1">
        <f t="array" aca="1" ref="O34" ca="1">mu*dt_1*R33</f>
        <v>3.3341479433446633E-2</v>
      </c>
      <c r="P34">
        <f t="shared" ca="1" si="1"/>
        <v>-0.29578004906647265</v>
      </c>
      <c r="Q34">
        <f t="shared" ca="1" si="6"/>
        <v>-0.26243856963302603</v>
      </c>
      <c r="R34">
        <f t="shared" ca="1" si="7"/>
        <v>99.761999730706876</v>
      </c>
      <c r="T34">
        <f t="shared" si="2"/>
        <v>9.166666666666666E-2</v>
      </c>
      <c r="U34">
        <f t="shared" ca="1" si="3"/>
        <v>3.2614603053978952E-2</v>
      </c>
      <c r="V34">
        <f t="shared" ca="1" si="4"/>
        <v>0.95348327876148509</v>
      </c>
      <c r="W34">
        <f t="shared" ca="1" si="8"/>
        <v>0.98609788181546398</v>
      </c>
      <c r="X34">
        <f t="shared" ca="1" si="9"/>
        <v>98.829907043752328</v>
      </c>
    </row>
    <row r="35" spans="1:24" x14ac:dyDescent="0.25">
      <c r="A35">
        <f t="shared" ca="1" si="0"/>
        <v>97.388790634828098</v>
      </c>
      <c r="E35">
        <f ca="1">A112</f>
        <v>93.613348380981279</v>
      </c>
      <c r="F35">
        <v>5</v>
      </c>
      <c r="G35" t="s">
        <v>32</v>
      </c>
      <c r="H35" t="str">
        <f ca="1">IF(A112&gt;$H$25*$A$12,"Yes","No")</f>
        <v>No</v>
      </c>
      <c r="I35" s="3">
        <f ca="1">IF(AND(H31="No",H32="No",H33="No",H34="No",H35="No"),$K$22/12,0)</f>
        <v>0.01</v>
      </c>
      <c r="J35">
        <f ca="1">IF(AND(H31="No",H32="No",H33="No",H34="No",H35="Yes"),$H$22,0)</f>
        <v>0</v>
      </c>
      <c r="K35">
        <f t="shared" si="10"/>
        <v>0.99173553719008267</v>
      </c>
      <c r="L35">
        <f t="shared" ca="1" si="11"/>
        <v>99173.553719008269</v>
      </c>
      <c r="N35">
        <f t="shared" si="5"/>
        <v>9.5833333333333326E-2</v>
      </c>
      <c r="O35" cm="1">
        <f t="array" aca="1" ref="O35" ca="1">mu*dt_1*R34</f>
        <v>3.3253999910235622E-2</v>
      </c>
      <c r="P35">
        <f t="shared" ca="1" si="1"/>
        <v>0.12648718452871568</v>
      </c>
      <c r="Q35">
        <f t="shared" ca="1" si="6"/>
        <v>0.1597411844389513</v>
      </c>
      <c r="R35">
        <f t="shared" ca="1" si="7"/>
        <v>99.921740915145833</v>
      </c>
      <c r="T35">
        <f t="shared" si="2"/>
        <v>9.5833333333333326E-2</v>
      </c>
      <c r="U35">
        <f t="shared" ca="1" si="3"/>
        <v>3.2943302347917446E-2</v>
      </c>
      <c r="V35">
        <f t="shared" ca="1" si="4"/>
        <v>-1.474059711272149</v>
      </c>
      <c r="W35">
        <f t="shared" ca="1" si="8"/>
        <v>-1.4411164089242314</v>
      </c>
      <c r="X35">
        <f t="shared" ca="1" si="9"/>
        <v>97.388790634828098</v>
      </c>
    </row>
    <row r="36" spans="1:24" x14ac:dyDescent="0.25">
      <c r="A36">
        <f t="shared" ca="1" si="0"/>
        <v>97.501539059401935</v>
      </c>
      <c r="E36">
        <f ca="1">A132</f>
        <v>99.701698170727255</v>
      </c>
      <c r="F36">
        <v>6</v>
      </c>
      <c r="G36" t="s">
        <v>32</v>
      </c>
      <c r="H36" t="str">
        <f ca="1">IF(A132&gt;$H$25*$A$12,"Yes","No")</f>
        <v>No</v>
      </c>
      <c r="I36" s="3">
        <f ca="1">IF(AND(H31="No",H32="No",H33="No",H34="No",H35="No",H36="No"),$K$22/12,0)</f>
        <v>0.01</v>
      </c>
      <c r="J36">
        <f ca="1">IF(AND(H31="No",H32="No",H33="No",H34="No",H35="No"),$H$22,0)</f>
        <v>10000000</v>
      </c>
      <c r="K36">
        <f t="shared" si="10"/>
        <v>0.99009900990099009</v>
      </c>
      <c r="L36">
        <f t="shared" ref="L36" ca="1" si="12">(I36*$H$22+J36)*K36+$I$29*$H$22*$K$36</f>
        <v>10000000</v>
      </c>
      <c r="N36">
        <f t="shared" si="5"/>
        <v>9.9999999999999992E-2</v>
      </c>
      <c r="O36" cm="1">
        <f t="array" aca="1" ref="O36" ca="1">mu*dt_1*R35</f>
        <v>3.3307246971715276E-2</v>
      </c>
      <c r="P36">
        <f t="shared" ca="1" si="1"/>
        <v>-0.82752837968359638</v>
      </c>
      <c r="Q36">
        <f t="shared" ca="1" si="6"/>
        <v>-0.79422113271188111</v>
      </c>
      <c r="R36">
        <f t="shared" ca="1" si="7"/>
        <v>99.12751978243395</v>
      </c>
      <c r="T36">
        <f t="shared" si="2"/>
        <v>9.9999999999999992E-2</v>
      </c>
      <c r="U36">
        <f t="shared" ca="1" si="3"/>
        <v>3.246293021160937E-2</v>
      </c>
      <c r="V36">
        <f t="shared" ca="1" si="4"/>
        <v>8.0285494362232229E-2</v>
      </c>
      <c r="W36">
        <f t="shared" ca="1" si="8"/>
        <v>0.1127484245738416</v>
      </c>
      <c r="X36">
        <f t="shared" ca="1" si="9"/>
        <v>97.501539059401935</v>
      </c>
    </row>
    <row r="37" spans="1:24" x14ac:dyDescent="0.25">
      <c r="A37">
        <f t="shared" ca="1" si="0"/>
        <v>97.762936823000459</v>
      </c>
      <c r="L37">
        <f ca="1">SUM(L31:L36)</f>
        <v>10497515.174360866</v>
      </c>
      <c r="N37">
        <f t="shared" si="5"/>
        <v>0.10416666666666666</v>
      </c>
      <c r="O37" cm="1">
        <f t="array" aca="1" ref="O37" ca="1">mu*dt_1*R36</f>
        <v>3.3042506594144649E-2</v>
      </c>
      <c r="P37">
        <f t="shared" ca="1" si="1"/>
        <v>-1.0843864056222967</v>
      </c>
      <c r="Q37">
        <f t="shared" ca="1" si="6"/>
        <v>-1.0513438990281521</v>
      </c>
      <c r="R37">
        <f t="shared" ca="1" si="7"/>
        <v>98.076175883405796</v>
      </c>
      <c r="T37">
        <f t="shared" si="2"/>
        <v>0.10416666666666666</v>
      </c>
      <c r="U37">
        <f t="shared" ca="1" si="3"/>
        <v>3.2500513019800649E-2</v>
      </c>
      <c r="V37">
        <f t="shared" ca="1" si="4"/>
        <v>0.22889725057871857</v>
      </c>
      <c r="W37">
        <f t="shared" ca="1" si="8"/>
        <v>0.26139776359851924</v>
      </c>
      <c r="X37">
        <f t="shared" ca="1" si="9"/>
        <v>97.762936823000459</v>
      </c>
    </row>
    <row r="38" spans="1:24" x14ac:dyDescent="0.25">
      <c r="A38">
        <f t="shared" ca="1" si="0"/>
        <v>96.570578691698913</v>
      </c>
      <c r="N38">
        <f t="shared" si="5"/>
        <v>0.10833333333333332</v>
      </c>
      <c r="O38" cm="1">
        <f t="array" aca="1" ref="O38" ca="1">mu*dt_1*R37</f>
        <v>3.2692058627801932E-2</v>
      </c>
      <c r="P38">
        <f t="shared" ca="1" si="1"/>
        <v>-1.5382892503346859</v>
      </c>
      <c r="Q38">
        <f t="shared" ca="1" si="6"/>
        <v>-1.505597191706884</v>
      </c>
      <c r="R38">
        <f t="shared" ca="1" si="7"/>
        <v>96.570578691698913</v>
      </c>
      <c r="T38">
        <f t="shared" si="2"/>
        <v>0.10833333333333332</v>
      </c>
      <c r="U38">
        <f t="shared" ca="1" si="3"/>
        <v>3.2587645607666818E-2</v>
      </c>
      <c r="V38">
        <f t="shared" ca="1" si="4"/>
        <v>0.25235390137811237</v>
      </c>
      <c r="W38">
        <f t="shared" ca="1" si="8"/>
        <v>0.28494154698577917</v>
      </c>
      <c r="X38">
        <f t="shared" ca="1" si="9"/>
        <v>98.047878369986236</v>
      </c>
    </row>
    <row r="39" spans="1:24" x14ac:dyDescent="0.25">
      <c r="A39">
        <f t="shared" ca="1" si="0"/>
        <v>95.56962580048932</v>
      </c>
      <c r="N39">
        <f t="shared" si="5"/>
        <v>0.11249999999999999</v>
      </c>
      <c r="O39" cm="1">
        <f t="array" aca="1" ref="O39" ca="1">mu*dt_1*R38</f>
        <v>3.2190192897232968E-2</v>
      </c>
      <c r="P39">
        <f t="shared" ca="1" si="1"/>
        <v>-1.0331430841068192</v>
      </c>
      <c r="Q39">
        <f t="shared" ca="1" si="6"/>
        <v>-1.0009528912095862</v>
      </c>
      <c r="R39">
        <f t="shared" ca="1" si="7"/>
        <v>95.56962580048932</v>
      </c>
      <c r="T39">
        <f t="shared" si="2"/>
        <v>0.11249999999999999</v>
      </c>
      <c r="U39">
        <f t="shared" ca="1" si="3"/>
        <v>3.2682626123328749E-2</v>
      </c>
      <c r="V39">
        <f t="shared" ca="1" si="4"/>
        <v>-2.0048438049951276</v>
      </c>
      <c r="W39">
        <f t="shared" ca="1" si="8"/>
        <v>-1.9721611788717988</v>
      </c>
      <c r="X39">
        <f t="shared" ca="1" si="9"/>
        <v>96.075717191114435</v>
      </c>
    </row>
    <row r="40" spans="1:24" x14ac:dyDescent="0.25">
      <c r="A40">
        <f t="shared" ca="1" si="0"/>
        <v>94.498969367453967</v>
      </c>
      <c r="N40">
        <f t="shared" si="5"/>
        <v>0.11666666666666665</v>
      </c>
      <c r="O40" cm="1">
        <f t="array" aca="1" ref="O40" ca="1">mu*dt_1*R39</f>
        <v>3.1856541933496442E-2</v>
      </c>
      <c r="P40">
        <f t="shared" ca="1" si="1"/>
        <v>-1.1025129749688425</v>
      </c>
      <c r="Q40">
        <f t="shared" ca="1" si="6"/>
        <v>-1.0706564330353461</v>
      </c>
      <c r="R40">
        <f t="shared" ca="1" si="7"/>
        <v>94.498969367453967</v>
      </c>
      <c r="T40">
        <f t="shared" si="2"/>
        <v>0.11666666666666665</v>
      </c>
      <c r="U40">
        <f t="shared" ca="1" si="3"/>
        <v>3.2025239063704816E-2</v>
      </c>
      <c r="V40">
        <f t="shared" ca="1" si="4"/>
        <v>-1.5768564447749003</v>
      </c>
      <c r="W40">
        <f t="shared" ca="1" si="8"/>
        <v>-1.5448312057111955</v>
      </c>
      <c r="X40">
        <f t="shared" ca="1" si="9"/>
        <v>94.530885985403245</v>
      </c>
    </row>
    <row r="41" spans="1:24" x14ac:dyDescent="0.25">
      <c r="A41">
        <f t="shared" ca="1" si="0"/>
        <v>93.796014896404103</v>
      </c>
      <c r="N41">
        <f t="shared" si="5"/>
        <v>0.12083333333333332</v>
      </c>
      <c r="O41" cm="1">
        <f t="array" aca="1" ref="O41" ca="1">mu*dt_1*R40</f>
        <v>3.1499656455817988E-2</v>
      </c>
      <c r="P41">
        <f t="shared" ca="1" si="1"/>
        <v>-0.27938516961861221</v>
      </c>
      <c r="Q41">
        <f t="shared" ca="1" si="6"/>
        <v>-0.24788551316279422</v>
      </c>
      <c r="R41">
        <f t="shared" ca="1" si="7"/>
        <v>94.251083854291167</v>
      </c>
      <c r="T41">
        <f t="shared" si="2"/>
        <v>0.12083333333333332</v>
      </c>
      <c r="U41">
        <f t="shared" ca="1" si="3"/>
        <v>3.1510295328467747E-2</v>
      </c>
      <c r="V41">
        <f t="shared" ca="1" si="4"/>
        <v>-0.76638138432760372</v>
      </c>
      <c r="W41">
        <f t="shared" ca="1" si="8"/>
        <v>-0.734871088999136</v>
      </c>
      <c r="X41">
        <f t="shared" ca="1" si="9"/>
        <v>93.796014896404103</v>
      </c>
    </row>
    <row r="42" spans="1:24" x14ac:dyDescent="0.25">
      <c r="A42">
        <f t="shared" ca="1" si="0"/>
        <v>93.888370939799415</v>
      </c>
      <c r="N42">
        <f t="shared" si="5"/>
        <v>0.12499999999999999</v>
      </c>
      <c r="O42" cm="1">
        <f t="array" aca="1" ref="O42" ca="1">mu*dt_1*R41</f>
        <v>3.1417027951430386E-2</v>
      </c>
      <c r="P42">
        <f t="shared" ca="1" si="1"/>
        <v>0.72707791598352212</v>
      </c>
      <c r="Q42">
        <f t="shared" ca="1" si="6"/>
        <v>0.75849494393495254</v>
      </c>
      <c r="R42">
        <f t="shared" ca="1" si="7"/>
        <v>95.009578798226116</v>
      </c>
      <c r="T42">
        <f t="shared" si="2"/>
        <v>0.12499999999999999</v>
      </c>
      <c r="U42">
        <f t="shared" ca="1" si="3"/>
        <v>3.1265338298801369E-2</v>
      </c>
      <c r="V42">
        <f t="shared" ca="1" si="4"/>
        <v>6.1090705096516464E-2</v>
      </c>
      <c r="W42">
        <f t="shared" ca="1" si="8"/>
        <v>9.2356043395317833E-2</v>
      </c>
      <c r="X42">
        <f t="shared" ca="1" si="9"/>
        <v>93.888370939799415</v>
      </c>
    </row>
    <row r="43" spans="1:24" x14ac:dyDescent="0.25">
      <c r="A43">
        <f t="shared" ca="1" si="0"/>
        <v>93.477337357821838</v>
      </c>
      <c r="N43">
        <f t="shared" si="5"/>
        <v>0.12916666666666665</v>
      </c>
      <c r="O43" cm="1">
        <f t="array" aca="1" ref="O43" ca="1">mu*dt_1*R42</f>
        <v>3.1669859599408705E-2</v>
      </c>
      <c r="P43">
        <f t="shared" ca="1" si="1"/>
        <v>-1.5639113000036817</v>
      </c>
      <c r="Q43">
        <f t="shared" ca="1" si="6"/>
        <v>-1.532241440404273</v>
      </c>
      <c r="R43">
        <f t="shared" ca="1" si="7"/>
        <v>93.477337357821838</v>
      </c>
      <c r="T43">
        <f t="shared" si="2"/>
        <v>0.12916666666666665</v>
      </c>
      <c r="U43">
        <f t="shared" ca="1" si="3"/>
        <v>3.1296123646599804E-2</v>
      </c>
      <c r="V43">
        <f t="shared" ca="1" si="4"/>
        <v>0.10077550266374807</v>
      </c>
      <c r="W43">
        <f t="shared" ca="1" si="8"/>
        <v>0.13207162631034788</v>
      </c>
      <c r="X43">
        <f t="shared" ca="1" si="9"/>
        <v>94.020442566109764</v>
      </c>
    </row>
    <row r="44" spans="1:24" x14ac:dyDescent="0.25">
      <c r="A44">
        <f t="shared" ca="1" si="0"/>
        <v>93.458404322055387</v>
      </c>
      <c r="N44">
        <f t="shared" si="5"/>
        <v>0.13333333333333333</v>
      </c>
      <c r="O44" cm="1">
        <f t="array" aca="1" ref="O44" ca="1">mu*dt_1*R43</f>
        <v>3.1159112452607277E-2</v>
      </c>
      <c r="P44">
        <f t="shared" ca="1" si="1"/>
        <v>-5.0092148219060009E-2</v>
      </c>
      <c r="Q44">
        <f t="shared" ca="1" si="6"/>
        <v>-1.8933035766452732E-2</v>
      </c>
      <c r="R44">
        <f t="shared" ca="1" si="7"/>
        <v>93.458404322055387</v>
      </c>
      <c r="T44">
        <f t="shared" si="2"/>
        <v>0.13333333333333333</v>
      </c>
      <c r="U44">
        <f t="shared" ca="1" si="3"/>
        <v>3.1340147522036586E-2</v>
      </c>
      <c r="V44">
        <f t="shared" ca="1" si="4"/>
        <v>0.7723643178370051</v>
      </c>
      <c r="W44">
        <f t="shared" ca="1" si="8"/>
        <v>0.80370446535904172</v>
      </c>
      <c r="X44">
        <f t="shared" ca="1" si="9"/>
        <v>94.824147031468812</v>
      </c>
    </row>
    <row r="45" spans="1:24" x14ac:dyDescent="0.25">
      <c r="A45">
        <f t="shared" ca="1" si="0"/>
        <v>92.757107827176696</v>
      </c>
      <c r="N45">
        <f t="shared" si="5"/>
        <v>0.13750000000000001</v>
      </c>
      <c r="O45" cm="1">
        <f t="array" aca="1" ref="O45" ca="1">mu*dt_1*R44</f>
        <v>3.1152801440685128E-2</v>
      </c>
      <c r="P45">
        <f t="shared" ca="1" si="1"/>
        <v>-0.73244929631936995</v>
      </c>
      <c r="Q45">
        <f t="shared" ca="1" si="6"/>
        <v>-0.70129649487868484</v>
      </c>
      <c r="R45">
        <f t="shared" ca="1" si="7"/>
        <v>92.757107827176696</v>
      </c>
      <c r="T45">
        <f t="shared" si="2"/>
        <v>0.13750000000000001</v>
      </c>
      <c r="U45">
        <f t="shared" ca="1" si="3"/>
        <v>3.1608049010489601E-2</v>
      </c>
      <c r="V45">
        <f t="shared" ca="1" si="4"/>
        <v>-1.8120613361227706</v>
      </c>
      <c r="W45">
        <f t="shared" ca="1" si="8"/>
        <v>-1.7804532871122811</v>
      </c>
      <c r="X45">
        <f t="shared" ca="1" si="9"/>
        <v>93.043693744356531</v>
      </c>
    </row>
    <row r="46" spans="1:24" x14ac:dyDescent="0.25">
      <c r="A46">
        <f t="shared" ca="1" si="0"/>
        <v>91.704956667318115</v>
      </c>
      <c r="N46">
        <f t="shared" si="5"/>
        <v>0.14166666666666669</v>
      </c>
      <c r="O46" cm="1">
        <f t="array" aca="1" ref="O46" ca="1">mu*dt_1*R45</f>
        <v>3.0919035942392231E-2</v>
      </c>
      <c r="P46">
        <f t="shared" ca="1" si="1"/>
        <v>0.20016157583341812</v>
      </c>
      <c r="Q46">
        <f t="shared" ca="1" si="6"/>
        <v>0.23108061177581035</v>
      </c>
      <c r="R46">
        <f t="shared" ca="1" si="7"/>
        <v>92.988188438952506</v>
      </c>
      <c r="T46">
        <f t="shared" si="2"/>
        <v>0.14166666666666669</v>
      </c>
      <c r="U46">
        <f t="shared" ca="1" si="3"/>
        <v>3.1014564581452179E-2</v>
      </c>
      <c r="V46">
        <f t="shared" ca="1" si="4"/>
        <v>-1.3697516416198727</v>
      </c>
      <c r="W46">
        <f t="shared" ca="1" si="8"/>
        <v>-1.3387370770384206</v>
      </c>
      <c r="X46">
        <f t="shared" ca="1" si="9"/>
        <v>91.704956667318115</v>
      </c>
    </row>
    <row r="47" spans="1:24" x14ac:dyDescent="0.25">
      <c r="A47">
        <f t="shared" ca="1" si="0"/>
        <v>93.213246583575568</v>
      </c>
      <c r="N47">
        <f t="shared" si="5"/>
        <v>0.14583333333333337</v>
      </c>
      <c r="O47" cm="1">
        <f t="array" aca="1" ref="O47" ca="1">mu*dt_1*R46</f>
        <v>3.0996062812984167E-2</v>
      </c>
      <c r="P47">
        <f t="shared" ca="1" si="1"/>
        <v>0.52538159046075716</v>
      </c>
      <c r="Q47">
        <f t="shared" ca="1" si="6"/>
        <v>0.55637765327374133</v>
      </c>
      <c r="R47">
        <f t="shared" ca="1" si="7"/>
        <v>93.544566092226248</v>
      </c>
      <c r="T47">
        <f t="shared" si="2"/>
        <v>0.14583333333333337</v>
      </c>
      <c r="U47">
        <f t="shared" ca="1" si="3"/>
        <v>3.0568318889106039E-2</v>
      </c>
      <c r="V47">
        <f t="shared" ca="1" si="4"/>
        <v>1.4777215973683409</v>
      </c>
      <c r="W47">
        <f t="shared" ca="1" si="8"/>
        <v>1.5082899162574468</v>
      </c>
      <c r="X47">
        <f t="shared" ca="1" si="9"/>
        <v>93.213246583575568</v>
      </c>
    </row>
    <row r="48" spans="1:24" x14ac:dyDescent="0.25">
      <c r="A48">
        <f t="shared" ca="1" si="0"/>
        <v>93.082782880738975</v>
      </c>
      <c r="N48">
        <f t="shared" si="5"/>
        <v>0.15000000000000005</v>
      </c>
      <c r="O48" cm="1">
        <f t="array" aca="1" ref="O48" ca="1">mu*dt_1*R47</f>
        <v>3.1181522030742082E-2</v>
      </c>
      <c r="P48">
        <f t="shared" ca="1" si="1"/>
        <v>-0.49296473351801257</v>
      </c>
      <c r="Q48">
        <f t="shared" ca="1" si="6"/>
        <v>-0.46178321148727047</v>
      </c>
      <c r="R48">
        <f t="shared" ca="1" si="7"/>
        <v>93.082782880738975</v>
      </c>
      <c r="T48">
        <f t="shared" si="2"/>
        <v>0.15000000000000005</v>
      </c>
      <c r="U48">
        <f t="shared" ca="1" si="3"/>
        <v>3.1071082194525191E-2</v>
      </c>
      <c r="V48">
        <f t="shared" ca="1" si="4"/>
        <v>3.1086306187417083</v>
      </c>
      <c r="W48">
        <f t="shared" ca="1" si="8"/>
        <v>3.1397017009362336</v>
      </c>
      <c r="X48">
        <f t="shared" ca="1" si="9"/>
        <v>96.352948284511797</v>
      </c>
    </row>
    <row r="49" spans="1:24" x14ac:dyDescent="0.25">
      <c r="A49">
        <f t="shared" ca="1" si="0"/>
        <v>93.318780606043433</v>
      </c>
      <c r="N49">
        <f t="shared" si="5"/>
        <v>0.15416666666666673</v>
      </c>
      <c r="O49" cm="1">
        <f t="array" aca="1" ref="O49" ca="1">mu*dt_1*R48</f>
        <v>3.1027594293579656E-2</v>
      </c>
      <c r="P49">
        <f t="shared" ca="1" si="1"/>
        <v>0.20497013101088252</v>
      </c>
      <c r="Q49">
        <f t="shared" ca="1" si="6"/>
        <v>0.23599772530446217</v>
      </c>
      <c r="R49">
        <f t="shared" ca="1" si="7"/>
        <v>93.318780606043433</v>
      </c>
      <c r="T49">
        <f t="shared" si="2"/>
        <v>0.15416666666666673</v>
      </c>
      <c r="U49">
        <f t="shared" ca="1" si="3"/>
        <v>3.2117649428170601E-2</v>
      </c>
      <c r="V49">
        <f t="shared" ca="1" si="4"/>
        <v>0.43670857070172808</v>
      </c>
      <c r="W49">
        <f t="shared" ca="1" si="8"/>
        <v>0.46882622012989866</v>
      </c>
      <c r="X49">
        <f t="shared" ca="1" si="9"/>
        <v>96.821774504641695</v>
      </c>
    </row>
    <row r="50" spans="1:24" x14ac:dyDescent="0.25">
      <c r="A50">
        <f t="shared" ca="1" si="0"/>
        <v>94.285191284076319</v>
      </c>
      <c r="N50">
        <f t="shared" si="5"/>
        <v>0.15833333333333341</v>
      </c>
      <c r="O50" cm="1">
        <f t="array" aca="1" ref="O50" ca="1">mu*dt_1*R49</f>
        <v>3.1106260202014478E-2</v>
      </c>
      <c r="P50">
        <f t="shared" ca="1" si="1"/>
        <v>0.93530441783087015</v>
      </c>
      <c r="Q50">
        <f t="shared" ca="1" si="6"/>
        <v>0.96641067803288461</v>
      </c>
      <c r="R50">
        <f t="shared" ca="1" si="7"/>
        <v>94.285191284076319</v>
      </c>
      <c r="T50">
        <f t="shared" si="2"/>
        <v>0.15833333333333341</v>
      </c>
      <c r="U50">
        <f t="shared" ca="1" si="3"/>
        <v>3.2273924834880563E-2</v>
      </c>
      <c r="V50">
        <f t="shared" ca="1" si="4"/>
        <v>1.2146080610843077</v>
      </c>
      <c r="W50">
        <f t="shared" ca="1" si="8"/>
        <v>1.2468819859191882</v>
      </c>
      <c r="X50">
        <f t="shared" ca="1" si="9"/>
        <v>98.068656490560883</v>
      </c>
    </row>
    <row r="51" spans="1:24" x14ac:dyDescent="0.25">
      <c r="A51">
        <f t="shared" ca="1" si="0"/>
        <v>93.097108089423813</v>
      </c>
      <c r="N51">
        <f t="shared" si="5"/>
        <v>0.16250000000000009</v>
      </c>
      <c r="O51" cm="1">
        <f t="array" aca="1" ref="O51" ca="1">mu*dt_1*R50</f>
        <v>3.1428397094692105E-2</v>
      </c>
      <c r="P51">
        <f t="shared" ca="1" si="1"/>
        <v>-1.2195115917471917</v>
      </c>
      <c r="Q51">
        <f t="shared" ca="1" si="6"/>
        <v>-1.1880831946524997</v>
      </c>
      <c r="R51">
        <f t="shared" ca="1" si="7"/>
        <v>93.097108089423813</v>
      </c>
      <c r="T51">
        <f t="shared" si="2"/>
        <v>0.16250000000000009</v>
      </c>
      <c r="U51">
        <f t="shared" ca="1" si="3"/>
        <v>3.2689552163520298E-2</v>
      </c>
      <c r="V51">
        <f t="shared" ca="1" si="4"/>
        <v>-0.10988630539324315</v>
      </c>
      <c r="W51">
        <f t="shared" ca="1" si="8"/>
        <v>-7.7196753229722859E-2</v>
      </c>
      <c r="X51">
        <f t="shared" ca="1" si="9"/>
        <v>97.991459737331155</v>
      </c>
    </row>
    <row r="52" spans="1:24" x14ac:dyDescent="0.25">
      <c r="A52">
        <f t="shared" ca="1" si="0"/>
        <v>93.842081447339382</v>
      </c>
      <c r="N52">
        <f t="shared" si="5"/>
        <v>0.16666666666666677</v>
      </c>
      <c r="O52" cm="1">
        <f t="array" aca="1" ref="O52" ca="1">mu*dt_1*R51</f>
        <v>3.1032369363141271E-2</v>
      </c>
      <c r="P52">
        <f t="shared" ca="1" si="1"/>
        <v>0.71394098855242871</v>
      </c>
      <c r="Q52">
        <f t="shared" ca="1" si="6"/>
        <v>0.74497335791556996</v>
      </c>
      <c r="R52">
        <f t="shared" ca="1" si="7"/>
        <v>93.842081447339382</v>
      </c>
      <c r="T52">
        <f t="shared" si="2"/>
        <v>0.16666666666666677</v>
      </c>
      <c r="U52">
        <f t="shared" ca="1" si="3"/>
        <v>3.2663819912443715E-2</v>
      </c>
      <c r="V52">
        <f t="shared" ca="1" si="4"/>
        <v>-0.9556252003974951</v>
      </c>
      <c r="W52">
        <f t="shared" ca="1" si="8"/>
        <v>-0.92296138048505139</v>
      </c>
      <c r="X52">
        <f t="shared" ca="1" si="9"/>
        <v>97.068498356846106</v>
      </c>
    </row>
    <row r="53" spans="1:24" x14ac:dyDescent="0.25">
      <c r="A53">
        <f t="shared" ca="1" si="0"/>
        <v>92.888319479964835</v>
      </c>
      <c r="N53">
        <f t="shared" si="5"/>
        <v>0.17083333333333345</v>
      </c>
      <c r="O53" cm="1">
        <f t="array" aca="1" ref="O53" ca="1">mu*dt_1*R52</f>
        <v>3.1280693815779796E-2</v>
      </c>
      <c r="P53">
        <f t="shared" ca="1" si="1"/>
        <v>-0.98504266119032358</v>
      </c>
      <c r="Q53">
        <f t="shared" ca="1" si="6"/>
        <v>-0.95376196737454377</v>
      </c>
      <c r="R53">
        <f t="shared" ca="1" si="7"/>
        <v>92.888319479964835</v>
      </c>
      <c r="T53">
        <f t="shared" si="2"/>
        <v>0.17083333333333345</v>
      </c>
      <c r="U53">
        <f t="shared" ca="1" si="3"/>
        <v>3.2356166118948704E-2</v>
      </c>
      <c r="V53">
        <f t="shared" ca="1" si="4"/>
        <v>0.1627704753164029</v>
      </c>
      <c r="W53">
        <f t="shared" ca="1" si="8"/>
        <v>0.19512664143535161</v>
      </c>
      <c r="X53">
        <f t="shared" ca="1" si="9"/>
        <v>97.263624998281458</v>
      </c>
    </row>
    <row r="54" spans="1:24" x14ac:dyDescent="0.25">
      <c r="A54">
        <f t="shared" ca="1" si="0"/>
        <v>92.49547861033551</v>
      </c>
      <c r="N54">
        <f t="shared" si="5"/>
        <v>0.17500000000000013</v>
      </c>
      <c r="O54" cm="1">
        <f t="array" aca="1" ref="O54" ca="1">mu*dt_1*R53</f>
        <v>3.0962773159988279E-2</v>
      </c>
      <c r="P54">
        <f t="shared" ca="1" si="1"/>
        <v>-0.42380364278931199</v>
      </c>
      <c r="Q54">
        <f t="shared" ca="1" si="6"/>
        <v>-0.39284086962932369</v>
      </c>
      <c r="R54">
        <f t="shared" ca="1" si="7"/>
        <v>92.49547861033551</v>
      </c>
      <c r="T54">
        <f t="shared" si="2"/>
        <v>0.17500000000000013</v>
      </c>
      <c r="U54">
        <f t="shared" ca="1" si="3"/>
        <v>3.2421208332760486E-2</v>
      </c>
      <c r="V54">
        <f t="shared" ca="1" si="4"/>
        <v>-2.3027570299302433</v>
      </c>
      <c r="W54">
        <f t="shared" ca="1" si="8"/>
        <v>-2.2703358215974827</v>
      </c>
      <c r="X54">
        <f t="shared" ca="1" si="9"/>
        <v>94.993289176683973</v>
      </c>
    </row>
    <row r="55" spans="1:24" x14ac:dyDescent="0.25">
      <c r="A55">
        <f t="shared" ca="1" si="0"/>
        <v>90.597000275722422</v>
      </c>
      <c r="N55">
        <f t="shared" si="5"/>
        <v>0.17916666666666681</v>
      </c>
      <c r="O55" cm="1">
        <f t="array" aca="1" ref="O55" ca="1">mu*dt_1*R54</f>
        <v>3.083182620344517E-2</v>
      </c>
      <c r="P55">
        <f t="shared" ca="1" si="1"/>
        <v>-1.9293101608165342</v>
      </c>
      <c r="Q55">
        <f t="shared" ca="1" si="6"/>
        <v>-1.8984783346130889</v>
      </c>
      <c r="R55">
        <f t="shared" ca="1" si="7"/>
        <v>90.597000275722422</v>
      </c>
      <c r="T55">
        <f t="shared" si="2"/>
        <v>0.17916666666666681</v>
      </c>
      <c r="U55">
        <f t="shared" ca="1" si="3"/>
        <v>3.166442972556132E-2</v>
      </c>
      <c r="V55">
        <f t="shared" ca="1" si="4"/>
        <v>-0.37985681891049328</v>
      </c>
      <c r="W55">
        <f t="shared" ca="1" si="8"/>
        <v>-0.34819238918493195</v>
      </c>
      <c r="X55">
        <f t="shared" ca="1" si="9"/>
        <v>94.645096787499043</v>
      </c>
    </row>
    <row r="56" spans="1:24" x14ac:dyDescent="0.25">
      <c r="A56">
        <f t="shared" ca="1" si="0"/>
        <v>91.884844506400654</v>
      </c>
      <c r="N56">
        <f t="shared" si="5"/>
        <v>0.18333333333333349</v>
      </c>
      <c r="O56" cm="1">
        <f t="array" aca="1" ref="O56" ca="1">mu*dt_1*R55</f>
        <v>3.0199000091907471E-2</v>
      </c>
      <c r="P56">
        <f t="shared" ca="1" si="1"/>
        <v>1.2576452305863277</v>
      </c>
      <c r="Q56">
        <f t="shared" ca="1" si="6"/>
        <v>1.2878442306782352</v>
      </c>
      <c r="R56">
        <f t="shared" ca="1" si="7"/>
        <v>91.884844506400654</v>
      </c>
      <c r="T56">
        <f t="shared" si="2"/>
        <v>0.18333333333333349</v>
      </c>
      <c r="U56">
        <f t="shared" ca="1" si="3"/>
        <v>3.154836559583301E-2</v>
      </c>
      <c r="V56">
        <f t="shared" ca="1" si="4"/>
        <v>-1.326292929582759</v>
      </c>
      <c r="W56">
        <f t="shared" ca="1" si="8"/>
        <v>-1.2947445639869259</v>
      </c>
      <c r="X56">
        <f t="shared" ca="1" si="9"/>
        <v>93.350352223512118</v>
      </c>
    </row>
    <row r="57" spans="1:24" x14ac:dyDescent="0.25">
      <c r="A57">
        <f t="shared" ca="1" si="0"/>
        <v>91.030613593787493</v>
      </c>
      <c r="N57">
        <f t="shared" si="5"/>
        <v>0.18750000000000017</v>
      </c>
      <c r="O57" cm="1">
        <f t="array" aca="1" ref="O57" ca="1">mu*dt_1*R56</f>
        <v>3.062828150213355E-2</v>
      </c>
      <c r="P57">
        <f t="shared" ca="1" si="1"/>
        <v>-0.88485919411529834</v>
      </c>
      <c r="Q57">
        <f t="shared" ca="1" si="6"/>
        <v>-0.85423091261316475</v>
      </c>
      <c r="R57">
        <f t="shared" ca="1" si="7"/>
        <v>91.030613593787493</v>
      </c>
      <c r="T57">
        <f t="shared" si="2"/>
        <v>0.18750000000000017</v>
      </c>
      <c r="U57">
        <f t="shared" ca="1" si="3"/>
        <v>3.111678407450404E-2</v>
      </c>
      <c r="V57">
        <f t="shared" ca="1" si="4"/>
        <v>-1.5419880631581488</v>
      </c>
      <c r="W57">
        <f t="shared" ca="1" si="8"/>
        <v>-1.5108712790836447</v>
      </c>
      <c r="X57">
        <f t="shared" ca="1" si="9"/>
        <v>91.839480944428473</v>
      </c>
    </row>
    <row r="58" spans="1:24" x14ac:dyDescent="0.25">
      <c r="A58">
        <f t="shared" ca="1" si="0"/>
        <v>90.721329295966427</v>
      </c>
      <c r="N58">
        <f t="shared" si="5"/>
        <v>0.19166666666666685</v>
      </c>
      <c r="O58" cm="1">
        <f t="array" aca="1" ref="O58" ca="1">mu*dt_1*R57</f>
        <v>3.0343537864595829E-2</v>
      </c>
      <c r="P58">
        <f t="shared" ca="1" si="1"/>
        <v>-0.33962783568565491</v>
      </c>
      <c r="Q58">
        <f t="shared" ca="1" si="6"/>
        <v>-0.3092842978210591</v>
      </c>
      <c r="R58">
        <f t="shared" ca="1" si="7"/>
        <v>90.721329295966427</v>
      </c>
      <c r="T58">
        <f t="shared" si="2"/>
        <v>0.19166666666666685</v>
      </c>
      <c r="U58">
        <f t="shared" ca="1" si="3"/>
        <v>3.0613160314809491E-2</v>
      </c>
      <c r="V58">
        <f t="shared" ca="1" si="4"/>
        <v>0.954663097301365</v>
      </c>
      <c r="W58">
        <f t="shared" ca="1" si="8"/>
        <v>0.98527625761617454</v>
      </c>
      <c r="X58">
        <f t="shared" ca="1" si="9"/>
        <v>92.824757202044651</v>
      </c>
    </row>
    <row r="59" spans="1:24" x14ac:dyDescent="0.25">
      <c r="A59">
        <f t="shared" ca="1" si="0"/>
        <v>92.203775793736028</v>
      </c>
      <c r="N59">
        <f t="shared" si="5"/>
        <v>0.19583333333333353</v>
      </c>
      <c r="O59" cm="1">
        <f t="array" aca="1" ref="O59" ca="1">mu*dt_1*R58</f>
        <v>3.0240443098655475E-2</v>
      </c>
      <c r="P59">
        <f t="shared" ca="1" si="1"/>
        <v>1.4522060546709505</v>
      </c>
      <c r="Q59">
        <f t="shared" ca="1" si="6"/>
        <v>1.4824464977696059</v>
      </c>
      <c r="R59">
        <f t="shared" ca="1" si="7"/>
        <v>92.203775793736028</v>
      </c>
      <c r="T59">
        <f t="shared" si="2"/>
        <v>0.19583333333333353</v>
      </c>
      <c r="U59">
        <f t="shared" ca="1" si="3"/>
        <v>3.0941585734014884E-2</v>
      </c>
      <c r="V59">
        <f t="shared" ca="1" si="4"/>
        <v>0.77423389631071771</v>
      </c>
      <c r="W59">
        <f t="shared" ca="1" si="8"/>
        <v>0.80517548204473255</v>
      </c>
      <c r="X59">
        <f t="shared" ca="1" si="9"/>
        <v>93.629932684089383</v>
      </c>
    </row>
    <row r="60" spans="1:24" x14ac:dyDescent="0.25">
      <c r="A60">
        <f t="shared" ca="1" si="0"/>
        <v>92.21291273844605</v>
      </c>
      <c r="N60">
        <f t="shared" si="5"/>
        <v>0.20000000000000021</v>
      </c>
      <c r="O60" cm="1">
        <f t="array" aca="1" ref="O60" ca="1">mu*dt_1*R59</f>
        <v>3.0734591931245343E-2</v>
      </c>
      <c r="P60">
        <f t="shared" ca="1" si="1"/>
        <v>-2.1597647221227385E-2</v>
      </c>
      <c r="Q60">
        <f t="shared" ca="1" si="6"/>
        <v>9.1369447100179586E-3</v>
      </c>
      <c r="R60">
        <f t="shared" ca="1" si="7"/>
        <v>92.21291273844605</v>
      </c>
      <c r="T60">
        <f t="shared" si="2"/>
        <v>0.20000000000000021</v>
      </c>
      <c r="U60">
        <f t="shared" ca="1" si="3"/>
        <v>3.1209977561363129E-2</v>
      </c>
      <c r="V60">
        <f t="shared" ca="1" si="4"/>
        <v>-1.0101228638463333</v>
      </c>
      <c r="W60">
        <f t="shared" ca="1" si="8"/>
        <v>-0.9789128862849702</v>
      </c>
      <c r="X60">
        <f t="shared" ca="1" si="9"/>
        <v>92.651019797804409</v>
      </c>
    </row>
    <row r="61" spans="1:24" x14ac:dyDescent="0.25">
      <c r="A61">
        <f t="shared" ca="1" si="0"/>
        <v>93.497901344369922</v>
      </c>
      <c r="N61">
        <f t="shared" si="5"/>
        <v>0.20416666666666689</v>
      </c>
      <c r="O61" cm="1">
        <f t="array" aca="1" ref="O61" ca="1">mu*dt_1*R60</f>
        <v>3.0737637579482016E-2</v>
      </c>
      <c r="P61">
        <f t="shared" ca="1" si="1"/>
        <v>1.8507827740960099</v>
      </c>
      <c r="Q61">
        <f t="shared" ca="1" si="6"/>
        <v>1.881520411675492</v>
      </c>
      <c r="R61">
        <f t="shared" ca="1" si="7"/>
        <v>94.094433150121546</v>
      </c>
      <c r="T61">
        <f t="shared" si="2"/>
        <v>0.20416666666666689</v>
      </c>
      <c r="U61">
        <f t="shared" ca="1" si="3"/>
        <v>3.0883673265934802E-2</v>
      </c>
      <c r="V61">
        <f t="shared" ca="1" si="4"/>
        <v>0.81599787329957385</v>
      </c>
      <c r="W61">
        <f t="shared" ca="1" si="8"/>
        <v>0.84688154656550862</v>
      </c>
      <c r="X61">
        <f t="shared" ca="1" si="9"/>
        <v>93.497901344369922</v>
      </c>
    </row>
    <row r="62" spans="1:24" x14ac:dyDescent="0.25">
      <c r="A62">
        <f t="shared" ca="1" si="0"/>
        <v>92.61695153324672</v>
      </c>
      <c r="N62">
        <f t="shared" si="5"/>
        <v>0.20833333333333356</v>
      </c>
      <c r="O62" cm="1">
        <f t="array" aca="1" ref="O62" ca="1">mu*dt_1*R61</f>
        <v>3.1364811050040513E-2</v>
      </c>
      <c r="P62">
        <f t="shared" ca="1" si="1"/>
        <v>-1.508846427924871</v>
      </c>
      <c r="Q62">
        <f t="shared" ca="1" si="6"/>
        <v>-1.4774816168748306</v>
      </c>
      <c r="R62">
        <f t="shared" ca="1" si="7"/>
        <v>92.61695153324672</v>
      </c>
      <c r="T62">
        <f t="shared" si="2"/>
        <v>0.20833333333333356</v>
      </c>
      <c r="U62">
        <f t="shared" ca="1" si="3"/>
        <v>3.1165967114789975E-2</v>
      </c>
      <c r="V62">
        <f t="shared" ca="1" si="4"/>
        <v>4.9538365944456736E-2</v>
      </c>
      <c r="W62">
        <f t="shared" ca="1" si="8"/>
        <v>8.0704333059246708E-2</v>
      </c>
      <c r="X62">
        <f t="shared" ca="1" si="9"/>
        <v>93.578605677429167</v>
      </c>
    </row>
    <row r="63" spans="1:24" x14ac:dyDescent="0.25">
      <c r="A63">
        <f t="shared" ca="1" si="0"/>
        <v>93.024400074653542</v>
      </c>
      <c r="N63">
        <f t="shared" si="5"/>
        <v>0.21250000000000024</v>
      </c>
      <c r="O63" cm="1">
        <f t="array" aca="1" ref="O63" ca="1">mu*dt_1*R62</f>
        <v>3.0872317177748906E-2</v>
      </c>
      <c r="P63">
        <f t="shared" ca="1" si="1"/>
        <v>0.37657622422907472</v>
      </c>
      <c r="Q63">
        <f t="shared" ca="1" si="6"/>
        <v>0.40744854140682363</v>
      </c>
      <c r="R63">
        <f t="shared" ca="1" si="7"/>
        <v>93.024400074653542</v>
      </c>
      <c r="T63">
        <f t="shared" si="2"/>
        <v>0.21250000000000024</v>
      </c>
      <c r="U63">
        <f t="shared" ca="1" si="3"/>
        <v>3.1192868559143057E-2</v>
      </c>
      <c r="V63">
        <f t="shared" ca="1" si="4"/>
        <v>0.90795547845161506</v>
      </c>
      <c r="W63">
        <f t="shared" ca="1" si="8"/>
        <v>0.93914834701075811</v>
      </c>
      <c r="X63">
        <f t="shared" ca="1" si="9"/>
        <v>94.517754024439924</v>
      </c>
    </row>
    <row r="64" spans="1:24" x14ac:dyDescent="0.25">
      <c r="A64">
        <f t="shared" ca="1" si="0"/>
        <v>91.972872284664078</v>
      </c>
      <c r="N64">
        <f t="shared" si="5"/>
        <v>0.21666666666666692</v>
      </c>
      <c r="O64" cm="1">
        <f t="array" aca="1" ref="O64" ca="1">mu*dt_1*R63</f>
        <v>3.1008133358217848E-2</v>
      </c>
      <c r="P64">
        <f t="shared" ca="1" si="1"/>
        <v>-1.0825359233476846</v>
      </c>
      <c r="Q64">
        <f t="shared" ca="1" si="6"/>
        <v>-1.0515277899894666</v>
      </c>
      <c r="R64">
        <f t="shared" ca="1" si="7"/>
        <v>91.972872284664078</v>
      </c>
      <c r="T64">
        <f t="shared" si="2"/>
        <v>0.21666666666666692</v>
      </c>
      <c r="U64">
        <f t="shared" ca="1" si="3"/>
        <v>3.1505918008146644E-2</v>
      </c>
      <c r="V64">
        <f t="shared" ca="1" si="4"/>
        <v>-0.18702883181676139</v>
      </c>
      <c r="W64">
        <f t="shared" ca="1" si="8"/>
        <v>-0.15552291380861474</v>
      </c>
      <c r="X64">
        <f t="shared" ca="1" si="9"/>
        <v>94.362231110631313</v>
      </c>
    </row>
    <row r="65" spans="1:24" x14ac:dyDescent="0.25">
      <c r="A65">
        <f t="shared" ca="1" si="0"/>
        <v>92.841226248406485</v>
      </c>
      <c r="N65">
        <f t="shared" si="5"/>
        <v>0.2208333333333336</v>
      </c>
      <c r="O65" cm="1">
        <f t="array" aca="1" ref="O65" ca="1">mu*dt_1*R64</f>
        <v>3.0657624094888026E-2</v>
      </c>
      <c r="P65">
        <f t="shared" ca="1" si="1"/>
        <v>0.83769633964752377</v>
      </c>
      <c r="Q65">
        <f t="shared" ca="1" si="6"/>
        <v>0.86835396374241181</v>
      </c>
      <c r="R65">
        <f t="shared" ca="1" si="7"/>
        <v>92.841226248406485</v>
      </c>
      <c r="T65">
        <f t="shared" si="2"/>
        <v>0.2208333333333336</v>
      </c>
      <c r="U65">
        <f t="shared" ca="1" si="3"/>
        <v>3.1454077036877102E-2</v>
      </c>
      <c r="V65">
        <f t="shared" ca="1" si="4"/>
        <v>0.32758068344630703</v>
      </c>
      <c r="W65">
        <f t="shared" ca="1" si="8"/>
        <v>0.35903476048318411</v>
      </c>
      <c r="X65">
        <f t="shared" ca="1" si="9"/>
        <v>94.721265871114497</v>
      </c>
    </row>
    <row r="66" spans="1:24" x14ac:dyDescent="0.25">
      <c r="A66">
        <f t="shared" ca="1" si="0"/>
        <v>90.915735635911204</v>
      </c>
      <c r="N66">
        <f t="shared" si="5"/>
        <v>0.22500000000000028</v>
      </c>
      <c r="O66" cm="1">
        <f t="array" aca="1" ref="O66" ca="1">mu*dt_1*R65</f>
        <v>3.0947075416135495E-2</v>
      </c>
      <c r="P66">
        <f t="shared" ca="1" si="1"/>
        <v>-1.9564376879114145</v>
      </c>
      <c r="Q66">
        <f t="shared" ca="1" si="6"/>
        <v>-1.9254906124952791</v>
      </c>
      <c r="R66">
        <f t="shared" ca="1" si="7"/>
        <v>90.915735635911204</v>
      </c>
      <c r="T66">
        <f t="shared" si="2"/>
        <v>0.22500000000000028</v>
      </c>
      <c r="U66">
        <f t="shared" ca="1" si="3"/>
        <v>3.15737552903715E-2</v>
      </c>
      <c r="V66">
        <f t="shared" ca="1" si="4"/>
        <v>-0.60621275123582097</v>
      </c>
      <c r="W66">
        <f t="shared" ca="1" si="8"/>
        <v>-0.57463899594544943</v>
      </c>
      <c r="X66">
        <f t="shared" ca="1" si="9"/>
        <v>94.146626875169048</v>
      </c>
    </row>
    <row r="67" spans="1:24" x14ac:dyDescent="0.25">
      <c r="A67">
        <f t="shared" ca="1" si="0"/>
        <v>92.903660091524401</v>
      </c>
      <c r="N67">
        <f t="shared" si="5"/>
        <v>0.22916666666666696</v>
      </c>
      <c r="O67" cm="1">
        <f t="array" aca="1" ref="O67" ca="1">mu*dt_1*R66</f>
        <v>3.0305245211970401E-2</v>
      </c>
      <c r="P67">
        <f t="shared" ca="1" si="1"/>
        <v>1.9576192104012311</v>
      </c>
      <c r="Q67">
        <f t="shared" ca="1" si="6"/>
        <v>1.9879244556132014</v>
      </c>
      <c r="R67">
        <f t="shared" ca="1" si="7"/>
        <v>92.903660091524401</v>
      </c>
      <c r="T67">
        <f t="shared" si="2"/>
        <v>0.22916666666666696</v>
      </c>
      <c r="U67">
        <f t="shared" ca="1" si="3"/>
        <v>3.1382208958389682E-2</v>
      </c>
      <c r="V67">
        <f t="shared" ca="1" si="4"/>
        <v>1.6247702629170158</v>
      </c>
      <c r="W67">
        <f t="shared" ca="1" si="8"/>
        <v>1.6561524718754055</v>
      </c>
      <c r="X67">
        <f t="shared" ca="1" si="9"/>
        <v>95.802779347044449</v>
      </c>
    </row>
    <row r="68" spans="1:24" x14ac:dyDescent="0.25">
      <c r="A68">
        <f t="shared" ca="1" si="0"/>
        <v>93.739883800220085</v>
      </c>
      <c r="N68">
        <f t="shared" si="5"/>
        <v>0.23333333333333364</v>
      </c>
      <c r="O68" cm="1">
        <f t="array" aca="1" ref="O68" ca="1">mu*dt_1*R67</f>
        <v>3.0967886697174801E-2</v>
      </c>
      <c r="P68">
        <f t="shared" ca="1" si="1"/>
        <v>0.80525582199851431</v>
      </c>
      <c r="Q68">
        <f t="shared" ca="1" si="6"/>
        <v>0.83622370869568907</v>
      </c>
      <c r="R68">
        <f t="shared" ca="1" si="7"/>
        <v>93.739883800220085</v>
      </c>
      <c r="T68">
        <f t="shared" si="2"/>
        <v>0.23333333333333364</v>
      </c>
      <c r="U68">
        <f t="shared" ca="1" si="3"/>
        <v>3.1934259782348151E-2</v>
      </c>
      <c r="V68">
        <f t="shared" ca="1" si="4"/>
        <v>-1.738422756170205</v>
      </c>
      <c r="W68">
        <f t="shared" ca="1" si="8"/>
        <v>-1.7064884963878568</v>
      </c>
      <c r="X68">
        <f t="shared" ca="1" si="9"/>
        <v>94.096290850656587</v>
      </c>
    </row>
    <row r="69" spans="1:24" x14ac:dyDescent="0.25">
      <c r="A69">
        <f t="shared" ca="1" si="0"/>
        <v>94.049123479090127</v>
      </c>
      <c r="N69">
        <f t="shared" si="5"/>
        <v>0.23750000000000032</v>
      </c>
      <c r="O69" cm="1">
        <f t="array" aca="1" ref="O69" ca="1">mu*dt_1*R68</f>
        <v>3.1246627933406695E-2</v>
      </c>
      <c r="P69">
        <f t="shared" ca="1" si="1"/>
        <v>0.2779930509366374</v>
      </c>
      <c r="Q69">
        <f t="shared" ca="1" si="6"/>
        <v>0.30923967887004411</v>
      </c>
      <c r="R69">
        <f t="shared" ca="1" si="7"/>
        <v>94.049123479090127</v>
      </c>
      <c r="T69">
        <f t="shared" si="2"/>
        <v>0.23750000000000032</v>
      </c>
      <c r="U69">
        <f t="shared" ca="1" si="3"/>
        <v>3.1365430283552195E-2</v>
      </c>
      <c r="V69">
        <f t="shared" ca="1" si="4"/>
        <v>0.13355911547373231</v>
      </c>
      <c r="W69">
        <f t="shared" ca="1" si="8"/>
        <v>0.16492454575728449</v>
      </c>
      <c r="X69">
        <f t="shared" ca="1" si="9"/>
        <v>94.261215396413874</v>
      </c>
    </row>
    <row r="70" spans="1:24" x14ac:dyDescent="0.25">
      <c r="A70">
        <f t="shared" ca="1" si="0"/>
        <v>94.297818256274709</v>
      </c>
      <c r="N70">
        <f t="shared" si="5"/>
        <v>0.241666666666667</v>
      </c>
      <c r="O70" cm="1">
        <f t="array" aca="1" ref="O70" ca="1">mu*dt_1*R69</f>
        <v>3.1349707826363378E-2</v>
      </c>
      <c r="P70">
        <f t="shared" ca="1" si="1"/>
        <v>1.2230931478210392</v>
      </c>
      <c r="Q70">
        <f t="shared" ca="1" si="6"/>
        <v>1.2544428556474025</v>
      </c>
      <c r="R70">
        <f t="shared" ca="1" si="7"/>
        <v>95.303566334737525</v>
      </c>
      <c r="T70">
        <f t="shared" si="2"/>
        <v>0.241666666666667</v>
      </c>
      <c r="U70">
        <f t="shared" ca="1" si="3"/>
        <v>3.1420405132137959E-2</v>
      </c>
      <c r="V70">
        <f t="shared" ca="1" si="4"/>
        <v>5.1824547286919275E-3</v>
      </c>
      <c r="W70">
        <f t="shared" ca="1" si="8"/>
        <v>3.6602859860829888E-2</v>
      </c>
      <c r="X70">
        <f t="shared" ca="1" si="9"/>
        <v>94.297818256274709</v>
      </c>
    </row>
    <row r="71" spans="1:24" x14ac:dyDescent="0.25">
      <c r="A71">
        <f t="shared" ca="1" si="0"/>
        <v>96.049331933340028</v>
      </c>
      <c r="N71">
        <f t="shared" si="5"/>
        <v>0.24583333333333368</v>
      </c>
      <c r="O71" cm="1">
        <f t="array" aca="1" ref="O71" ca="1">mu*dt_1*R70</f>
        <v>3.1767855444912507E-2</v>
      </c>
      <c r="P71">
        <f t="shared" ca="1" si="1"/>
        <v>0.80953994056386069</v>
      </c>
      <c r="Q71">
        <f t="shared" ca="1" si="6"/>
        <v>0.84130779600877315</v>
      </c>
      <c r="R71">
        <f t="shared" ca="1" si="7"/>
        <v>96.144874130746302</v>
      </c>
      <c r="T71">
        <f t="shared" si="2"/>
        <v>0.24583333333333368</v>
      </c>
      <c r="U71">
        <f t="shared" ca="1" si="3"/>
        <v>3.1432606085424905E-2</v>
      </c>
      <c r="V71">
        <f t="shared" ca="1" si="4"/>
        <v>1.720081070979889</v>
      </c>
      <c r="W71">
        <f t="shared" ca="1" si="8"/>
        <v>1.7515136770653139</v>
      </c>
      <c r="X71">
        <f t="shared" ca="1" si="9"/>
        <v>96.049331933340028</v>
      </c>
    </row>
    <row r="72" spans="1:24" x14ac:dyDescent="0.25">
      <c r="A72">
        <f t="shared" ca="1" si="0"/>
        <v>95.318791398770045</v>
      </c>
      <c r="N72">
        <f t="shared" si="5"/>
        <v>0.25000000000000033</v>
      </c>
      <c r="O72" cm="1">
        <f t="array" aca="1" ref="O72" ca="1">mu*dt_1*R71</f>
        <v>3.2048291376915436E-2</v>
      </c>
      <c r="P72">
        <f t="shared" ca="1" si="1"/>
        <v>-0.85813102335316627</v>
      </c>
      <c r="Q72">
        <f t="shared" ca="1" si="6"/>
        <v>-0.82608273197625082</v>
      </c>
      <c r="R72">
        <f t="shared" ca="1" si="7"/>
        <v>95.318791398770045</v>
      </c>
      <c r="T72">
        <f t="shared" si="2"/>
        <v>0.25000000000000033</v>
      </c>
      <c r="U72">
        <f t="shared" ca="1" si="3"/>
        <v>3.2016443977780008E-2</v>
      </c>
      <c r="V72">
        <f t="shared" ca="1" si="4"/>
        <v>-0.74638399350192608</v>
      </c>
      <c r="W72">
        <f t="shared" ca="1" si="8"/>
        <v>-0.71436754952414605</v>
      </c>
      <c r="X72">
        <f t="shared" ca="1" si="9"/>
        <v>95.334964383815887</v>
      </c>
    </row>
    <row r="73" spans="1:24" x14ac:dyDescent="0.25">
      <c r="A73">
        <f t="shared" ca="1" si="0"/>
        <v>94.816473917579984</v>
      </c>
      <c r="N73">
        <f t="shared" si="5"/>
        <v>0.25416666666666698</v>
      </c>
      <c r="O73" cm="1">
        <f t="array" aca="1" ref="O73" ca="1">mu*dt_1*R72</f>
        <v>3.1772930466256684E-2</v>
      </c>
      <c r="P73">
        <f t="shared" ca="1" si="1"/>
        <v>-0.53409041165631699</v>
      </c>
      <c r="Q73">
        <f t="shared" ca="1" si="6"/>
        <v>-0.50231748119006026</v>
      </c>
      <c r="R73">
        <f t="shared" ca="1" si="7"/>
        <v>94.816473917579984</v>
      </c>
      <c r="T73">
        <f t="shared" si="2"/>
        <v>0.25416666666666698</v>
      </c>
      <c r="U73">
        <f t="shared" ca="1" si="3"/>
        <v>3.1778321461271963E-2</v>
      </c>
      <c r="V73">
        <f t="shared" ca="1" si="4"/>
        <v>0.1474074972504614</v>
      </c>
      <c r="W73">
        <f t="shared" ca="1" si="8"/>
        <v>0.17918581871173336</v>
      </c>
      <c r="X73">
        <f t="shared" ca="1" si="9"/>
        <v>95.514150202527617</v>
      </c>
    </row>
    <row r="74" spans="1:24" x14ac:dyDescent="0.25">
      <c r="A74">
        <f t="shared" ca="1" si="0"/>
        <v>96.283282167521179</v>
      </c>
      <c r="N74">
        <f t="shared" si="5"/>
        <v>0.25833333333333364</v>
      </c>
      <c r="O74" cm="1">
        <f t="array" aca="1" ref="O74" ca="1">mu*dt_1*R73</f>
        <v>3.1605491305859996E-2</v>
      </c>
      <c r="P74">
        <f t="shared" ca="1" si="1"/>
        <v>1.4352027586353342</v>
      </c>
      <c r="Q74">
        <f t="shared" ca="1" si="6"/>
        <v>1.4668082499411943</v>
      </c>
      <c r="R74">
        <f t="shared" ca="1" si="7"/>
        <v>96.283282167521179</v>
      </c>
      <c r="T74">
        <f t="shared" si="2"/>
        <v>0.25833333333333364</v>
      </c>
      <c r="U74">
        <f t="shared" ca="1" si="3"/>
        <v>3.1838050067509206E-2</v>
      </c>
      <c r="V74">
        <f t="shared" ca="1" si="4"/>
        <v>0.78885350413962629</v>
      </c>
      <c r="W74">
        <f t="shared" ca="1" si="8"/>
        <v>0.82069155420713547</v>
      </c>
      <c r="X74">
        <f t="shared" ca="1" si="9"/>
        <v>96.334841756734747</v>
      </c>
    </row>
    <row r="75" spans="1:24" x14ac:dyDescent="0.25">
      <c r="A75">
        <f t="shared" ca="1" si="0"/>
        <v>93.158293126684939</v>
      </c>
      <c r="N75">
        <f t="shared" si="5"/>
        <v>0.26250000000000029</v>
      </c>
      <c r="O75" cm="1">
        <f t="array" aca="1" ref="O75" ca="1">mu*dt_1*R74</f>
        <v>3.2094427389173723E-2</v>
      </c>
      <c r="P75">
        <f t="shared" ca="1" si="1"/>
        <v>0.51965327027731645</v>
      </c>
      <c r="Q75">
        <f t="shared" ca="1" si="6"/>
        <v>0.55174769766649012</v>
      </c>
      <c r="R75">
        <f t="shared" ca="1" si="7"/>
        <v>96.835029865187664</v>
      </c>
      <c r="T75">
        <f t="shared" si="2"/>
        <v>0.26250000000000029</v>
      </c>
      <c r="U75">
        <f t="shared" ca="1" si="3"/>
        <v>3.2111613918911583E-2</v>
      </c>
      <c r="V75">
        <f t="shared" ca="1" si="4"/>
        <v>-3.208660243968724</v>
      </c>
      <c r="W75">
        <f t="shared" ca="1" si="8"/>
        <v>-3.1765486300498122</v>
      </c>
      <c r="X75">
        <f t="shared" ca="1" si="9"/>
        <v>93.158293126684939</v>
      </c>
    </row>
    <row r="76" spans="1:24" x14ac:dyDescent="0.25">
      <c r="A76">
        <f t="shared" ca="1" si="0"/>
        <v>93.376160746812403</v>
      </c>
      <c r="N76">
        <f t="shared" si="5"/>
        <v>0.26666666666666694</v>
      </c>
      <c r="O76" cm="1">
        <f t="array" aca="1" ref="O76" ca="1">mu*dt_1*R75</f>
        <v>3.2278343288395885E-2</v>
      </c>
      <c r="P76">
        <f t="shared" ca="1" si="1"/>
        <v>0.22471812182950926</v>
      </c>
      <c r="Q76">
        <f t="shared" ca="1" si="6"/>
        <v>0.25699646511790514</v>
      </c>
      <c r="R76">
        <f t="shared" ca="1" si="7"/>
        <v>97.092026330305572</v>
      </c>
      <c r="T76">
        <f t="shared" si="2"/>
        <v>0.26666666666666694</v>
      </c>
      <c r="U76">
        <f t="shared" ca="1" si="3"/>
        <v>3.1052764375561648E-2</v>
      </c>
      <c r="V76">
        <f t="shared" ca="1" si="4"/>
        <v>0.18681485575190507</v>
      </c>
      <c r="W76">
        <f t="shared" ca="1" si="8"/>
        <v>0.21786762012746672</v>
      </c>
      <c r="X76">
        <f t="shared" ca="1" si="9"/>
        <v>93.376160746812403</v>
      </c>
    </row>
    <row r="77" spans="1:24" x14ac:dyDescent="0.25">
      <c r="A77">
        <f t="shared" ref="A77:A140" ca="1" si="13">MIN(R77,X77)</f>
        <v>93.482217921942336</v>
      </c>
      <c r="N77">
        <f t="shared" si="5"/>
        <v>0.27083333333333359</v>
      </c>
      <c r="O77" cm="1">
        <f t="array" aca="1" ref="O77" ca="1">mu*dt_1*R76</f>
        <v>3.2364008776768524E-2</v>
      </c>
      <c r="P77">
        <f t="shared" ref="P77:P140" ca="1" si="14">_xlfn.NORM.INV(RAND(),0,1)*SQRT(dt_1)*sigma1*R76</f>
        <v>-0.5764006009554592</v>
      </c>
      <c r="Q77">
        <f t="shared" ca="1" si="6"/>
        <v>-0.54403659217869071</v>
      </c>
      <c r="R77">
        <f t="shared" ca="1" si="7"/>
        <v>96.547989738126887</v>
      </c>
      <c r="T77">
        <f t="shared" ref="T77:T140" si="15">T76+dt_2</f>
        <v>0.27083333333333359</v>
      </c>
      <c r="U77">
        <f t="shared" ref="U77:U140" ca="1" si="16">mu_2*X76*dt_2</f>
        <v>3.1125386915604136E-2</v>
      </c>
      <c r="V77">
        <f t="shared" ref="V77:V140" ca="1" si="17">(rho*P77/sigma1/R76+SQRT(1-rho^2)*_xlfn.NORM.INV(RAND(),0,1)*SQRT(dt_2))*sigma2*X76</f>
        <v>7.4931788214334799E-2</v>
      </c>
      <c r="W77">
        <f t="shared" ca="1" si="8"/>
        <v>0.10605717512993894</v>
      </c>
      <c r="X77">
        <f t="shared" ca="1" si="9"/>
        <v>93.482217921942336</v>
      </c>
    </row>
    <row r="78" spans="1:24" x14ac:dyDescent="0.25">
      <c r="A78">
        <f t="shared" ca="1" si="13"/>
        <v>93.584988784197208</v>
      </c>
      <c r="N78">
        <f t="shared" ref="N78:N141" si="18">N77+$C$8</f>
        <v>0.27500000000000024</v>
      </c>
      <c r="O78" cm="1">
        <f t="array" aca="1" ref="O78" ca="1">mu*dt_1*R77</f>
        <v>3.2182663246042298E-2</v>
      </c>
      <c r="P78">
        <f t="shared" ca="1" si="14"/>
        <v>-0.18407122349330324</v>
      </c>
      <c r="Q78">
        <f t="shared" ref="Q78:Q141" ca="1" si="19">O78+P78</f>
        <v>-0.15188856024726094</v>
      </c>
      <c r="R78">
        <f t="shared" ref="R78:R141" ca="1" si="20">R77+Q78</f>
        <v>96.396101177879629</v>
      </c>
      <c r="T78">
        <f t="shared" si="15"/>
        <v>0.27500000000000024</v>
      </c>
      <c r="U78">
        <f t="shared" ca="1" si="16"/>
        <v>3.1160739307314111E-2</v>
      </c>
      <c r="V78">
        <f t="shared" ca="1" si="17"/>
        <v>7.1610122947555449E-2</v>
      </c>
      <c r="W78">
        <f t="shared" ref="W78:W141" ca="1" si="21">U78+V78</f>
        <v>0.10277086225486956</v>
      </c>
      <c r="X78">
        <f t="shared" ref="X78:X141" ca="1" si="22">X77+W78</f>
        <v>93.584988784197208</v>
      </c>
    </row>
    <row r="79" spans="1:24" x14ac:dyDescent="0.25">
      <c r="A79">
        <f t="shared" ca="1" si="13"/>
        <v>93.071882441142549</v>
      </c>
      <c r="N79">
        <f t="shared" si="18"/>
        <v>0.2791666666666669</v>
      </c>
      <c r="O79" cm="1">
        <f t="array" aca="1" ref="O79" ca="1">mu*dt_1*R78</f>
        <v>3.2132033725959873E-2</v>
      </c>
      <c r="P79">
        <f t="shared" ca="1" si="14"/>
        <v>0.33833287595060191</v>
      </c>
      <c r="Q79">
        <f t="shared" ca="1" si="19"/>
        <v>0.37046490967656176</v>
      </c>
      <c r="R79">
        <f t="shared" ca="1" si="20"/>
        <v>96.766566087556185</v>
      </c>
      <c r="T79">
        <f t="shared" si="15"/>
        <v>0.2791666666666669</v>
      </c>
      <c r="U79">
        <f t="shared" ca="1" si="16"/>
        <v>3.1194996261399068E-2</v>
      </c>
      <c r="V79">
        <f t="shared" ca="1" si="17"/>
        <v>-0.54430133931606295</v>
      </c>
      <c r="W79">
        <f t="shared" ca="1" si="21"/>
        <v>-0.51310634305466385</v>
      </c>
      <c r="X79">
        <f t="shared" ca="1" si="22"/>
        <v>93.071882441142549</v>
      </c>
    </row>
    <row r="80" spans="1:24" x14ac:dyDescent="0.25">
      <c r="A80">
        <f t="shared" ca="1" si="13"/>
        <v>93.516406197317366</v>
      </c>
      <c r="N80">
        <f t="shared" si="18"/>
        <v>0.28333333333333355</v>
      </c>
      <c r="O80" cm="1">
        <f t="array" aca="1" ref="O80" ca="1">mu*dt_1*R79</f>
        <v>3.2255522029185392E-2</v>
      </c>
      <c r="P80">
        <f t="shared" ca="1" si="14"/>
        <v>-1.9105192760457839</v>
      </c>
      <c r="Q80">
        <f t="shared" ca="1" si="19"/>
        <v>-1.8782637540165985</v>
      </c>
      <c r="R80">
        <f t="shared" ca="1" si="20"/>
        <v>94.888302333539585</v>
      </c>
      <c r="T80">
        <f t="shared" si="15"/>
        <v>0.28333333333333355</v>
      </c>
      <c r="U80">
        <f t="shared" ca="1" si="16"/>
        <v>3.1023960813714183E-2</v>
      </c>
      <c r="V80">
        <f t="shared" ca="1" si="17"/>
        <v>0.41349979536109877</v>
      </c>
      <c r="W80">
        <f t="shared" ca="1" si="21"/>
        <v>0.44452375617481293</v>
      </c>
      <c r="X80">
        <f t="shared" ca="1" si="22"/>
        <v>93.516406197317366</v>
      </c>
    </row>
    <row r="81" spans="1:24" x14ac:dyDescent="0.25">
      <c r="A81">
        <f t="shared" ca="1" si="13"/>
        <v>93.39747866955058</v>
      </c>
      <c r="N81">
        <f t="shared" si="18"/>
        <v>0.2875000000000002</v>
      </c>
      <c r="O81" cm="1">
        <f t="array" aca="1" ref="O81" ca="1">mu*dt_1*R80</f>
        <v>3.1629434111179862E-2</v>
      </c>
      <c r="P81">
        <f t="shared" ca="1" si="14"/>
        <v>0.99610743095813759</v>
      </c>
      <c r="Q81">
        <f t="shared" ca="1" si="19"/>
        <v>1.0277368650693175</v>
      </c>
      <c r="R81">
        <f t="shared" ca="1" si="20"/>
        <v>95.9160391986089</v>
      </c>
      <c r="T81">
        <f t="shared" si="15"/>
        <v>0.2875000000000002</v>
      </c>
      <c r="U81">
        <f t="shared" ca="1" si="16"/>
        <v>3.117213539910579E-2</v>
      </c>
      <c r="V81">
        <f t="shared" ca="1" si="17"/>
        <v>-0.15009966316589707</v>
      </c>
      <c r="W81">
        <f t="shared" ca="1" si="21"/>
        <v>-0.11892752776679127</v>
      </c>
      <c r="X81">
        <f t="shared" ca="1" si="22"/>
        <v>93.39747866955058</v>
      </c>
    </row>
    <row r="82" spans="1:24" x14ac:dyDescent="0.25">
      <c r="A82">
        <f t="shared" ca="1" si="13"/>
        <v>93.138730090445392</v>
      </c>
      <c r="N82">
        <f t="shared" si="18"/>
        <v>0.29166666666666685</v>
      </c>
      <c r="O82" cm="1">
        <f t="array" aca="1" ref="O82" ca="1">mu*dt_1*R81</f>
        <v>3.1972013066202967E-2</v>
      </c>
      <c r="P82">
        <f t="shared" ca="1" si="14"/>
        <v>8.4719068025696939E-2</v>
      </c>
      <c r="Q82">
        <f t="shared" ca="1" si="19"/>
        <v>0.11669108109189991</v>
      </c>
      <c r="R82">
        <f t="shared" ca="1" si="20"/>
        <v>96.0327302797008</v>
      </c>
      <c r="T82">
        <f t="shared" si="15"/>
        <v>0.29166666666666685</v>
      </c>
      <c r="U82">
        <f t="shared" ca="1" si="16"/>
        <v>3.1132492889850195E-2</v>
      </c>
      <c r="V82">
        <f t="shared" ca="1" si="17"/>
        <v>-0.28988107199503149</v>
      </c>
      <c r="W82">
        <f t="shared" ca="1" si="21"/>
        <v>-0.25874857910518129</v>
      </c>
      <c r="X82">
        <f t="shared" ca="1" si="22"/>
        <v>93.138730090445392</v>
      </c>
    </row>
    <row r="83" spans="1:24" x14ac:dyDescent="0.25">
      <c r="A83">
        <f t="shared" ca="1" si="13"/>
        <v>92.76992844677568</v>
      </c>
      <c r="N83">
        <f t="shared" si="18"/>
        <v>0.2958333333333335</v>
      </c>
      <c r="O83" cm="1">
        <f t="array" aca="1" ref="O83" ca="1">mu*dt_1*R82</f>
        <v>3.2010910093233598E-2</v>
      </c>
      <c r="P83">
        <f t="shared" ca="1" si="14"/>
        <v>1.1699459929319278</v>
      </c>
      <c r="Q83">
        <f t="shared" ca="1" si="19"/>
        <v>1.2019569030251613</v>
      </c>
      <c r="R83">
        <f t="shared" ca="1" si="20"/>
        <v>97.234687182725963</v>
      </c>
      <c r="T83">
        <f t="shared" si="15"/>
        <v>0.2958333333333335</v>
      </c>
      <c r="U83">
        <f t="shared" ca="1" si="16"/>
        <v>3.1046243363481798E-2</v>
      </c>
      <c r="V83">
        <f t="shared" ca="1" si="17"/>
        <v>-0.39984788703319019</v>
      </c>
      <c r="W83">
        <f t="shared" ca="1" si="21"/>
        <v>-0.36880164366970841</v>
      </c>
      <c r="X83">
        <f t="shared" ca="1" si="22"/>
        <v>92.76992844677568</v>
      </c>
    </row>
    <row r="84" spans="1:24" x14ac:dyDescent="0.25">
      <c r="A84">
        <f t="shared" ca="1" si="13"/>
        <v>94.842593924016427</v>
      </c>
      <c r="N84">
        <f t="shared" si="18"/>
        <v>0.30000000000000016</v>
      </c>
      <c r="O84" cm="1">
        <f t="array" aca="1" ref="O84" ca="1">mu*dt_1*R83</f>
        <v>3.2411562394241984E-2</v>
      </c>
      <c r="P84">
        <f t="shared" ca="1" si="14"/>
        <v>-0.62725131529433598</v>
      </c>
      <c r="Q84">
        <f t="shared" ca="1" si="19"/>
        <v>-0.59483975290009394</v>
      </c>
      <c r="R84">
        <f t="shared" ca="1" si="20"/>
        <v>96.639847429825863</v>
      </c>
      <c r="T84">
        <f t="shared" si="15"/>
        <v>0.30000000000000016</v>
      </c>
      <c r="U84">
        <f t="shared" ca="1" si="16"/>
        <v>3.0923309482258562E-2</v>
      </c>
      <c r="V84">
        <f t="shared" ca="1" si="17"/>
        <v>2.0417421677584908</v>
      </c>
      <c r="W84">
        <f t="shared" ca="1" si="21"/>
        <v>2.0726654772407493</v>
      </c>
      <c r="X84">
        <f t="shared" ca="1" si="22"/>
        <v>94.842593924016427</v>
      </c>
    </row>
    <row r="85" spans="1:24" x14ac:dyDescent="0.25">
      <c r="A85">
        <f t="shared" ca="1" si="13"/>
        <v>93.952490992765888</v>
      </c>
      <c r="N85">
        <f t="shared" si="18"/>
        <v>0.30416666666666681</v>
      </c>
      <c r="O85" cm="1">
        <f t="array" aca="1" ref="O85" ca="1">mu*dt_1*R84</f>
        <v>3.2213282476608623E-2</v>
      </c>
      <c r="P85">
        <f t="shared" ca="1" si="14"/>
        <v>2.0065907656036575</v>
      </c>
      <c r="Q85">
        <f t="shared" ca="1" si="19"/>
        <v>2.0388040480802663</v>
      </c>
      <c r="R85">
        <f t="shared" ca="1" si="20"/>
        <v>98.678651477906129</v>
      </c>
      <c r="T85">
        <f t="shared" si="15"/>
        <v>0.30416666666666681</v>
      </c>
      <c r="U85">
        <f t="shared" ca="1" si="16"/>
        <v>3.1614197974672145E-2</v>
      </c>
      <c r="V85">
        <f t="shared" ca="1" si="17"/>
        <v>-0.92171712922520399</v>
      </c>
      <c r="W85">
        <f t="shared" ca="1" si="21"/>
        <v>-0.89010293125053186</v>
      </c>
      <c r="X85">
        <f t="shared" ca="1" si="22"/>
        <v>93.952490992765888</v>
      </c>
    </row>
    <row r="86" spans="1:24" x14ac:dyDescent="0.25">
      <c r="A86">
        <f t="shared" ca="1" si="13"/>
        <v>93.904795775767326</v>
      </c>
      <c r="N86">
        <f t="shared" si="18"/>
        <v>0.30833333333333346</v>
      </c>
      <c r="O86" cm="1">
        <f t="array" aca="1" ref="O86" ca="1">mu*dt_1*R85</f>
        <v>3.2892883825968708E-2</v>
      </c>
      <c r="P86">
        <f t="shared" ca="1" si="14"/>
        <v>0.93847973173849064</v>
      </c>
      <c r="Q86">
        <f t="shared" ca="1" si="19"/>
        <v>0.97137261556445931</v>
      </c>
      <c r="R86">
        <f t="shared" ca="1" si="20"/>
        <v>99.650024093470591</v>
      </c>
      <c r="T86">
        <f t="shared" si="15"/>
        <v>0.30833333333333346</v>
      </c>
      <c r="U86">
        <f t="shared" ca="1" si="16"/>
        <v>3.131749699758863E-2</v>
      </c>
      <c r="V86">
        <f t="shared" ca="1" si="17"/>
        <v>-7.9012713996145928E-2</v>
      </c>
      <c r="W86">
        <f t="shared" ca="1" si="21"/>
        <v>-4.7695216998557298E-2</v>
      </c>
      <c r="X86">
        <f t="shared" ca="1" si="22"/>
        <v>93.904795775767326</v>
      </c>
    </row>
    <row r="87" spans="1:24" x14ac:dyDescent="0.25">
      <c r="A87">
        <f t="shared" ca="1" si="13"/>
        <v>94.683559519529382</v>
      </c>
      <c r="N87">
        <f t="shared" si="18"/>
        <v>0.31250000000000011</v>
      </c>
      <c r="O87" cm="1">
        <f t="array" aca="1" ref="O87" ca="1">mu*dt_1*R86</f>
        <v>3.321667469782353E-2</v>
      </c>
      <c r="P87">
        <f t="shared" ca="1" si="14"/>
        <v>-1.443428669152832</v>
      </c>
      <c r="Q87">
        <f t="shared" ca="1" si="19"/>
        <v>-1.4102119944550084</v>
      </c>
      <c r="R87">
        <f t="shared" ca="1" si="20"/>
        <v>98.23981209901558</v>
      </c>
      <c r="T87">
        <f t="shared" si="15"/>
        <v>0.31250000000000011</v>
      </c>
      <c r="U87">
        <f t="shared" ca="1" si="16"/>
        <v>3.1301598591922442E-2</v>
      </c>
      <c r="V87">
        <f t="shared" ca="1" si="17"/>
        <v>0.74746214517013609</v>
      </c>
      <c r="W87">
        <f t="shared" ca="1" si="21"/>
        <v>0.77876374376205848</v>
      </c>
      <c r="X87">
        <f t="shared" ca="1" si="22"/>
        <v>94.683559519529382</v>
      </c>
    </row>
    <row r="88" spans="1:24" x14ac:dyDescent="0.25">
      <c r="A88">
        <f t="shared" ca="1" si="13"/>
        <v>94.245047242651637</v>
      </c>
      <c r="N88">
        <f t="shared" si="18"/>
        <v>0.31666666666666676</v>
      </c>
      <c r="O88" cm="1">
        <f t="array" aca="1" ref="O88" ca="1">mu*dt_1*R87</f>
        <v>3.2746604033005194E-2</v>
      </c>
      <c r="P88">
        <f t="shared" ca="1" si="14"/>
        <v>1.5683837188583345</v>
      </c>
      <c r="Q88">
        <f t="shared" ca="1" si="19"/>
        <v>1.6011303228913396</v>
      </c>
      <c r="R88">
        <f t="shared" ca="1" si="20"/>
        <v>99.840942421906917</v>
      </c>
      <c r="T88">
        <f t="shared" si="15"/>
        <v>0.31666666666666676</v>
      </c>
      <c r="U88">
        <f t="shared" ca="1" si="16"/>
        <v>3.156118650650979E-2</v>
      </c>
      <c r="V88">
        <f t="shared" ca="1" si="17"/>
        <v>-0.47007346338425204</v>
      </c>
      <c r="W88">
        <f t="shared" ca="1" si="21"/>
        <v>-0.43851227687774225</v>
      </c>
      <c r="X88">
        <f t="shared" ca="1" si="22"/>
        <v>94.245047242651637</v>
      </c>
    </row>
    <row r="89" spans="1:24" x14ac:dyDescent="0.25">
      <c r="A89">
        <f t="shared" ca="1" si="13"/>
        <v>96.646431311553343</v>
      </c>
      <c r="N89">
        <f t="shared" si="18"/>
        <v>0.32083333333333341</v>
      </c>
      <c r="O89" cm="1">
        <f t="array" aca="1" ref="O89" ca="1">mu*dt_1*R88</f>
        <v>3.328031414063564E-2</v>
      </c>
      <c r="P89">
        <f t="shared" ca="1" si="14"/>
        <v>6.8882270397170306E-2</v>
      </c>
      <c r="Q89">
        <f t="shared" ca="1" si="19"/>
        <v>0.10216258453780594</v>
      </c>
      <c r="R89">
        <f t="shared" ca="1" si="20"/>
        <v>99.943105006444725</v>
      </c>
      <c r="T89">
        <f t="shared" si="15"/>
        <v>0.32083333333333341</v>
      </c>
      <c r="U89">
        <f t="shared" ca="1" si="16"/>
        <v>3.1415015747550547E-2</v>
      </c>
      <c r="V89">
        <f t="shared" ca="1" si="17"/>
        <v>2.3699690531541493</v>
      </c>
      <c r="W89">
        <f t="shared" ca="1" si="21"/>
        <v>2.4013840689016996</v>
      </c>
      <c r="X89">
        <f t="shared" ca="1" si="22"/>
        <v>96.646431311553343</v>
      </c>
    </row>
    <row r="90" spans="1:24" x14ac:dyDescent="0.25">
      <c r="A90">
        <f t="shared" ca="1" si="13"/>
        <v>97.181679770784811</v>
      </c>
      <c r="N90">
        <f t="shared" si="18"/>
        <v>0.32500000000000007</v>
      </c>
      <c r="O90" cm="1">
        <f t="array" aca="1" ref="O90" ca="1">mu*dt_1*R89</f>
        <v>3.3314368335481577E-2</v>
      </c>
      <c r="P90">
        <f t="shared" ca="1" si="14"/>
        <v>-0.64786097400531073</v>
      </c>
      <c r="Q90">
        <f t="shared" ca="1" si="19"/>
        <v>-0.6145466056698291</v>
      </c>
      <c r="R90">
        <f t="shared" ca="1" si="20"/>
        <v>99.328558400774895</v>
      </c>
      <c r="T90">
        <f t="shared" si="15"/>
        <v>0.32500000000000007</v>
      </c>
      <c r="U90">
        <f t="shared" ca="1" si="16"/>
        <v>3.2215477103851115E-2</v>
      </c>
      <c r="V90">
        <f t="shared" ca="1" si="17"/>
        <v>0.50303298212761649</v>
      </c>
      <c r="W90">
        <f t="shared" ca="1" si="21"/>
        <v>0.53524845923146758</v>
      </c>
      <c r="X90">
        <f t="shared" ca="1" si="22"/>
        <v>97.181679770784811</v>
      </c>
    </row>
    <row r="91" spans="1:24" x14ac:dyDescent="0.25">
      <c r="A91">
        <f t="shared" ca="1" si="13"/>
        <v>98.313294375559025</v>
      </c>
      <c r="N91">
        <f t="shared" si="18"/>
        <v>0.32916666666666672</v>
      </c>
      <c r="O91" cm="1">
        <f t="array" aca="1" ref="O91" ca="1">mu*dt_1*R90</f>
        <v>3.3109519466924961E-2</v>
      </c>
      <c r="P91">
        <f t="shared" ca="1" si="14"/>
        <v>0.67262494529191863</v>
      </c>
      <c r="Q91">
        <f t="shared" ca="1" si="19"/>
        <v>0.7057344647588436</v>
      </c>
      <c r="R91">
        <f t="shared" ca="1" si="20"/>
        <v>100.03429286553374</v>
      </c>
      <c r="T91">
        <f t="shared" si="15"/>
        <v>0.32916666666666672</v>
      </c>
      <c r="U91">
        <f t="shared" ca="1" si="16"/>
        <v>3.239389325692827E-2</v>
      </c>
      <c r="V91">
        <f t="shared" ca="1" si="17"/>
        <v>1.099220711517281</v>
      </c>
      <c r="W91">
        <f t="shared" ca="1" si="21"/>
        <v>1.1316146047742093</v>
      </c>
      <c r="X91">
        <f t="shared" ca="1" si="22"/>
        <v>98.313294375559025</v>
      </c>
    </row>
    <row r="92" spans="1:24" x14ac:dyDescent="0.25">
      <c r="A92">
        <f t="shared" ca="1" si="13"/>
        <v>97.186053455101231</v>
      </c>
      <c r="N92">
        <f t="shared" si="18"/>
        <v>0.33333333333333337</v>
      </c>
      <c r="O92" cm="1">
        <f t="array" aca="1" ref="O92" ca="1">mu*dt_1*R91</f>
        <v>3.3344764288511249E-2</v>
      </c>
      <c r="P92">
        <f t="shared" ca="1" si="14"/>
        <v>-0.93179156605375268</v>
      </c>
      <c r="Q92">
        <f t="shared" ca="1" si="19"/>
        <v>-0.89844680176524139</v>
      </c>
      <c r="R92">
        <f t="shared" ca="1" si="20"/>
        <v>99.135846063768497</v>
      </c>
      <c r="T92">
        <f t="shared" si="15"/>
        <v>0.33333333333333337</v>
      </c>
      <c r="U92">
        <f t="shared" ca="1" si="16"/>
        <v>3.2771098125186339E-2</v>
      </c>
      <c r="V92">
        <f t="shared" ca="1" si="17"/>
        <v>-1.1600120185829845</v>
      </c>
      <c r="W92">
        <f t="shared" ca="1" si="21"/>
        <v>-1.1272409204577982</v>
      </c>
      <c r="X92">
        <f t="shared" ca="1" si="22"/>
        <v>97.186053455101231</v>
      </c>
    </row>
    <row r="93" spans="1:24" x14ac:dyDescent="0.25">
      <c r="A93">
        <f t="shared" ca="1" si="13"/>
        <v>96.493879468904524</v>
      </c>
      <c r="N93">
        <f t="shared" si="18"/>
        <v>0.33750000000000002</v>
      </c>
      <c r="O93" cm="1">
        <f t="array" aca="1" ref="O93" ca="1">mu*dt_1*R92</f>
        <v>3.3045282021256166E-2</v>
      </c>
      <c r="P93">
        <f t="shared" ca="1" si="14"/>
        <v>0.64656417243505804</v>
      </c>
      <c r="Q93">
        <f t="shared" ca="1" si="19"/>
        <v>0.67960945445631415</v>
      </c>
      <c r="R93">
        <f t="shared" ca="1" si="20"/>
        <v>99.815455518224809</v>
      </c>
      <c r="T93">
        <f t="shared" si="15"/>
        <v>0.33750000000000002</v>
      </c>
      <c r="U93">
        <f t="shared" ca="1" si="16"/>
        <v>3.2395351151700412E-2</v>
      </c>
      <c r="V93">
        <f t="shared" ca="1" si="17"/>
        <v>-0.72456933734841222</v>
      </c>
      <c r="W93">
        <f t="shared" ca="1" si="21"/>
        <v>-0.69217398619671178</v>
      </c>
      <c r="X93">
        <f t="shared" ca="1" si="22"/>
        <v>96.493879468904524</v>
      </c>
    </row>
    <row r="94" spans="1:24" x14ac:dyDescent="0.25">
      <c r="A94">
        <f t="shared" ca="1" si="13"/>
        <v>97.996947182834219</v>
      </c>
      <c r="N94">
        <f t="shared" si="18"/>
        <v>0.34166666666666667</v>
      </c>
      <c r="O94" cm="1">
        <f t="array" aca="1" ref="O94" ca="1">mu*dt_1*R93</f>
        <v>3.3271818506074934E-2</v>
      </c>
      <c r="P94">
        <f t="shared" ca="1" si="14"/>
        <v>-0.2035101997269593</v>
      </c>
      <c r="Q94">
        <f t="shared" ca="1" si="19"/>
        <v>-0.17023838122088436</v>
      </c>
      <c r="R94">
        <f t="shared" ca="1" si="20"/>
        <v>99.645217137003925</v>
      </c>
      <c r="T94">
        <f t="shared" si="15"/>
        <v>0.34166666666666667</v>
      </c>
      <c r="U94">
        <f t="shared" ca="1" si="16"/>
        <v>3.2164626489634841E-2</v>
      </c>
      <c r="V94">
        <f t="shared" ca="1" si="17"/>
        <v>1.4709030874400608</v>
      </c>
      <c r="W94">
        <f t="shared" ca="1" si="21"/>
        <v>1.5030677139296957</v>
      </c>
      <c r="X94">
        <f t="shared" ca="1" si="22"/>
        <v>97.996947182834219</v>
      </c>
    </row>
    <row r="95" spans="1:24" x14ac:dyDescent="0.25">
      <c r="A95">
        <f t="shared" ca="1" si="13"/>
        <v>98.898579793910898</v>
      </c>
      <c r="N95">
        <f t="shared" si="18"/>
        <v>0.34583333333333333</v>
      </c>
      <c r="O95" cm="1">
        <f t="array" aca="1" ref="O95" ca="1">mu*dt_1*R94</f>
        <v>3.3215072379001308E-2</v>
      </c>
      <c r="P95">
        <f t="shared" ca="1" si="14"/>
        <v>-0.49769785735925876</v>
      </c>
      <c r="Q95">
        <f t="shared" ca="1" si="19"/>
        <v>-0.46448278498025747</v>
      </c>
      <c r="R95">
        <f t="shared" ca="1" si="20"/>
        <v>99.180734352023663</v>
      </c>
      <c r="T95">
        <f t="shared" si="15"/>
        <v>0.34583333333333333</v>
      </c>
      <c r="U95">
        <f t="shared" ca="1" si="16"/>
        <v>3.266564906094474E-2</v>
      </c>
      <c r="V95">
        <f t="shared" ca="1" si="17"/>
        <v>0.86896696201574031</v>
      </c>
      <c r="W95">
        <f t="shared" ca="1" si="21"/>
        <v>0.90163261107668502</v>
      </c>
      <c r="X95">
        <f t="shared" ca="1" si="22"/>
        <v>98.898579793910898</v>
      </c>
    </row>
    <row r="96" spans="1:24" x14ac:dyDescent="0.25">
      <c r="A96">
        <f t="shared" ca="1" si="13"/>
        <v>96.142668262663079</v>
      </c>
      <c r="N96">
        <f t="shared" si="18"/>
        <v>0.35</v>
      </c>
      <c r="O96" cm="1">
        <f t="array" aca="1" ref="O96" ca="1">mu*dt_1*R95</f>
        <v>3.3060244784007889E-2</v>
      </c>
      <c r="P96">
        <f t="shared" ca="1" si="14"/>
        <v>1.5583167693588209</v>
      </c>
      <c r="Q96">
        <f t="shared" ca="1" si="19"/>
        <v>1.5913770141428287</v>
      </c>
      <c r="R96">
        <f t="shared" ca="1" si="20"/>
        <v>100.77211136616648</v>
      </c>
      <c r="T96">
        <f t="shared" si="15"/>
        <v>0.35</v>
      </c>
      <c r="U96">
        <f t="shared" ca="1" si="16"/>
        <v>3.296619326463697E-2</v>
      </c>
      <c r="V96">
        <f t="shared" ca="1" si="17"/>
        <v>-2.7888777245124587</v>
      </c>
      <c r="W96">
        <f t="shared" ca="1" si="21"/>
        <v>-2.755911531247822</v>
      </c>
      <c r="X96">
        <f t="shared" ca="1" si="22"/>
        <v>96.142668262663079</v>
      </c>
    </row>
    <row r="97" spans="1:24" x14ac:dyDescent="0.25">
      <c r="A97">
        <f t="shared" ca="1" si="13"/>
        <v>96.637122683473962</v>
      </c>
      <c r="N97">
        <f t="shared" si="18"/>
        <v>0.35416666666666663</v>
      </c>
      <c r="O97" cm="1">
        <f t="array" aca="1" ref="O97" ca="1">mu*dt_1*R96</f>
        <v>3.3590703788722164E-2</v>
      </c>
      <c r="P97">
        <f t="shared" ca="1" si="14"/>
        <v>-2.5754508887430735E-2</v>
      </c>
      <c r="Q97">
        <f t="shared" ca="1" si="19"/>
        <v>7.8361949012914281E-3</v>
      </c>
      <c r="R97">
        <f t="shared" ca="1" si="20"/>
        <v>100.77994756106777</v>
      </c>
      <c r="T97">
        <f t="shared" si="15"/>
        <v>0.35416666666666663</v>
      </c>
      <c r="U97">
        <f t="shared" ca="1" si="16"/>
        <v>3.2047556087554357E-2</v>
      </c>
      <c r="V97">
        <f t="shared" ca="1" si="17"/>
        <v>0.46240686472332587</v>
      </c>
      <c r="W97">
        <f t="shared" ca="1" si="21"/>
        <v>0.4944544208108802</v>
      </c>
      <c r="X97">
        <f t="shared" ca="1" si="22"/>
        <v>96.637122683473962</v>
      </c>
    </row>
    <row r="98" spans="1:24" x14ac:dyDescent="0.25">
      <c r="A98">
        <f t="shared" ca="1" si="13"/>
        <v>97.221759809206674</v>
      </c>
      <c r="N98">
        <f t="shared" si="18"/>
        <v>0.35833333333333328</v>
      </c>
      <c r="O98" cm="1">
        <f t="array" aca="1" ref="O98" ca="1">mu*dt_1*R97</f>
        <v>3.3593315853689257E-2</v>
      </c>
      <c r="P98">
        <f t="shared" ca="1" si="14"/>
        <v>-1.2204794668912495</v>
      </c>
      <c r="Q98">
        <f t="shared" ca="1" si="19"/>
        <v>-1.1868861510375603</v>
      </c>
      <c r="R98">
        <f t="shared" ca="1" si="20"/>
        <v>99.593061410030217</v>
      </c>
      <c r="T98">
        <f t="shared" si="15"/>
        <v>0.35833333333333328</v>
      </c>
      <c r="U98">
        <f t="shared" ca="1" si="16"/>
        <v>3.2212374227824657E-2</v>
      </c>
      <c r="V98">
        <f t="shared" ca="1" si="17"/>
        <v>0.55242475150488046</v>
      </c>
      <c r="W98">
        <f t="shared" ca="1" si="21"/>
        <v>0.5846371257327051</v>
      </c>
      <c r="X98">
        <f t="shared" ca="1" si="22"/>
        <v>97.221759809206674</v>
      </c>
    </row>
    <row r="99" spans="1:24" x14ac:dyDescent="0.25">
      <c r="A99">
        <f t="shared" ca="1" si="13"/>
        <v>97.304732808064543</v>
      </c>
      <c r="N99">
        <f t="shared" si="18"/>
        <v>0.36249999999999993</v>
      </c>
      <c r="O99" cm="1">
        <f t="array" aca="1" ref="O99" ca="1">mu*dt_1*R98</f>
        <v>3.3197687136676736E-2</v>
      </c>
      <c r="P99">
        <f t="shared" ca="1" si="14"/>
        <v>0.67052426865768078</v>
      </c>
      <c r="Q99">
        <f t="shared" ca="1" si="19"/>
        <v>0.70372195579435748</v>
      </c>
      <c r="R99">
        <f t="shared" ca="1" si="20"/>
        <v>100.29678336582458</v>
      </c>
      <c r="T99">
        <f t="shared" si="15"/>
        <v>0.36249999999999993</v>
      </c>
      <c r="U99">
        <f t="shared" ca="1" si="16"/>
        <v>3.2407253269735557E-2</v>
      </c>
      <c r="V99">
        <f t="shared" ca="1" si="17"/>
        <v>5.056574558813514E-2</v>
      </c>
      <c r="W99">
        <f t="shared" ca="1" si="21"/>
        <v>8.2972998857870697E-2</v>
      </c>
      <c r="X99">
        <f t="shared" ca="1" si="22"/>
        <v>97.304732808064543</v>
      </c>
    </row>
    <row r="100" spans="1:24" x14ac:dyDescent="0.25">
      <c r="A100">
        <f t="shared" ca="1" si="13"/>
        <v>97.090168650641061</v>
      </c>
      <c r="N100">
        <f t="shared" si="18"/>
        <v>0.36666666666666659</v>
      </c>
      <c r="O100" cm="1">
        <f t="array" aca="1" ref="O100" ca="1">mu*dt_1*R99</f>
        <v>3.3432261121941524E-2</v>
      </c>
      <c r="P100">
        <f t="shared" ca="1" si="14"/>
        <v>0.40230896595379706</v>
      </c>
      <c r="Q100">
        <f t="shared" ca="1" si="19"/>
        <v>0.43574122707573859</v>
      </c>
      <c r="R100">
        <f t="shared" ca="1" si="20"/>
        <v>100.73252459290032</v>
      </c>
      <c r="T100">
        <f t="shared" si="15"/>
        <v>0.36666666666666659</v>
      </c>
      <c r="U100">
        <f t="shared" ca="1" si="16"/>
        <v>3.2434910936021515E-2</v>
      </c>
      <c r="V100">
        <f t="shared" ca="1" si="17"/>
        <v>-0.24699906835950225</v>
      </c>
      <c r="W100">
        <f t="shared" ca="1" si="21"/>
        <v>-0.21456415742348073</v>
      </c>
      <c r="X100">
        <f t="shared" ca="1" si="22"/>
        <v>97.090168650641061</v>
      </c>
    </row>
    <row r="101" spans="1:24" x14ac:dyDescent="0.25">
      <c r="A101">
        <f t="shared" ca="1" si="13"/>
        <v>97.251094336624149</v>
      </c>
      <c r="N101">
        <f t="shared" si="18"/>
        <v>0.37083333333333324</v>
      </c>
      <c r="O101" cm="1">
        <f t="array" aca="1" ref="O101" ca="1">mu*dt_1*R100</f>
        <v>3.3577508197633436E-2</v>
      </c>
      <c r="P101">
        <f t="shared" ca="1" si="14"/>
        <v>-0.83677789775385802</v>
      </c>
      <c r="Q101">
        <f t="shared" ca="1" si="19"/>
        <v>-0.80320038955622464</v>
      </c>
      <c r="R101">
        <f t="shared" ca="1" si="20"/>
        <v>99.929324203344095</v>
      </c>
      <c r="T101">
        <f t="shared" si="15"/>
        <v>0.37083333333333324</v>
      </c>
      <c r="U101">
        <f t="shared" ca="1" si="16"/>
        <v>3.2363389550213686E-2</v>
      </c>
      <c r="V101">
        <f t="shared" ca="1" si="17"/>
        <v>0.12856229643287889</v>
      </c>
      <c r="W101">
        <f t="shared" ca="1" si="21"/>
        <v>0.16092568598309259</v>
      </c>
      <c r="X101">
        <f t="shared" ca="1" si="22"/>
        <v>97.251094336624149</v>
      </c>
    </row>
    <row r="102" spans="1:24" x14ac:dyDescent="0.25">
      <c r="A102">
        <f t="shared" ca="1" si="13"/>
        <v>98.922979123609963</v>
      </c>
      <c r="N102">
        <f t="shared" si="18"/>
        <v>0.37499999999999989</v>
      </c>
      <c r="O102" cm="1">
        <f t="array" aca="1" ref="O102" ca="1">mu*dt_1*R101</f>
        <v>3.330977473444803E-2</v>
      </c>
      <c r="P102">
        <f t="shared" ca="1" si="14"/>
        <v>-1.0396548544685731</v>
      </c>
      <c r="Q102">
        <f t="shared" ca="1" si="19"/>
        <v>-1.0063450797341251</v>
      </c>
      <c r="R102">
        <f t="shared" ca="1" si="20"/>
        <v>98.922979123609963</v>
      </c>
      <c r="T102">
        <f t="shared" si="15"/>
        <v>0.37499999999999989</v>
      </c>
      <c r="U102">
        <f t="shared" ca="1" si="16"/>
        <v>3.2417031445541387E-2</v>
      </c>
      <c r="V102">
        <f t="shared" ca="1" si="17"/>
        <v>2.6689686824571242</v>
      </c>
      <c r="W102">
        <f t="shared" ca="1" si="21"/>
        <v>2.7013857139026656</v>
      </c>
      <c r="X102">
        <f t="shared" ca="1" si="22"/>
        <v>99.952480050526816</v>
      </c>
    </row>
    <row r="103" spans="1:24" x14ac:dyDescent="0.25">
      <c r="A103">
        <f t="shared" ca="1" si="13"/>
        <v>98.282729135796302</v>
      </c>
      <c r="N103">
        <f t="shared" si="18"/>
        <v>0.37916666666666654</v>
      </c>
      <c r="O103" cm="1">
        <f t="array" aca="1" ref="O103" ca="1">mu*dt_1*R102</f>
        <v>3.297432637453665E-2</v>
      </c>
      <c r="P103">
        <f t="shared" ca="1" si="14"/>
        <v>1.1210615108903443</v>
      </c>
      <c r="Q103">
        <f t="shared" ca="1" si="19"/>
        <v>1.1540358372648809</v>
      </c>
      <c r="R103">
        <f t="shared" ca="1" si="20"/>
        <v>100.07701496087485</v>
      </c>
      <c r="T103">
        <f t="shared" si="15"/>
        <v>0.37916666666666654</v>
      </c>
      <c r="U103">
        <f t="shared" ca="1" si="16"/>
        <v>3.3317493350175607E-2</v>
      </c>
      <c r="V103">
        <f t="shared" ca="1" si="17"/>
        <v>-1.7030684080806902</v>
      </c>
      <c r="W103">
        <f t="shared" ca="1" si="21"/>
        <v>-1.6697509147305145</v>
      </c>
      <c r="X103">
        <f t="shared" ca="1" si="22"/>
        <v>98.282729135796302</v>
      </c>
    </row>
    <row r="104" spans="1:24" x14ac:dyDescent="0.25">
      <c r="A104">
        <f t="shared" ca="1" si="13"/>
        <v>97.197372773654095</v>
      </c>
      <c r="N104">
        <f t="shared" si="18"/>
        <v>0.38333333333333319</v>
      </c>
      <c r="O104" cm="1">
        <f t="array" aca="1" ref="O104" ca="1">mu*dt_1*R103</f>
        <v>3.3359004986958284E-2</v>
      </c>
      <c r="P104">
        <f t="shared" ca="1" si="14"/>
        <v>-2.7371299302244041</v>
      </c>
      <c r="Q104">
        <f t="shared" ca="1" si="19"/>
        <v>-2.7037709252374458</v>
      </c>
      <c r="R104">
        <f t="shared" ca="1" si="20"/>
        <v>97.373244035637398</v>
      </c>
      <c r="T104">
        <f t="shared" si="15"/>
        <v>0.38333333333333319</v>
      </c>
      <c r="U104">
        <f t="shared" ca="1" si="16"/>
        <v>3.2760909711932101E-2</v>
      </c>
      <c r="V104">
        <f t="shared" ca="1" si="17"/>
        <v>-1.118117271854145</v>
      </c>
      <c r="W104">
        <f t="shared" ca="1" si="21"/>
        <v>-1.0853563621422129</v>
      </c>
      <c r="X104">
        <f t="shared" ca="1" si="22"/>
        <v>97.197372773654095</v>
      </c>
    </row>
    <row r="105" spans="1:24" x14ac:dyDescent="0.25">
      <c r="A105">
        <f t="shared" ca="1" si="13"/>
        <v>96.164507224558093</v>
      </c>
      <c r="N105">
        <f t="shared" si="18"/>
        <v>0.38749999999999984</v>
      </c>
      <c r="O105" cm="1">
        <f t="array" aca="1" ref="O105" ca="1">mu*dt_1*R104</f>
        <v>3.2457748011879131E-2</v>
      </c>
      <c r="P105">
        <f t="shared" ca="1" si="14"/>
        <v>-1.241194559091183</v>
      </c>
      <c r="Q105">
        <f t="shared" ca="1" si="19"/>
        <v>-1.208736811079304</v>
      </c>
      <c r="R105">
        <f t="shared" ca="1" si="20"/>
        <v>96.164507224558093</v>
      </c>
      <c r="T105">
        <f t="shared" si="15"/>
        <v>0.38749999999999984</v>
      </c>
      <c r="U105">
        <f t="shared" ca="1" si="16"/>
        <v>3.2399124257884701E-2</v>
      </c>
      <c r="V105">
        <f t="shared" ca="1" si="17"/>
        <v>1.0541378670303749</v>
      </c>
      <c r="W105">
        <f t="shared" ca="1" si="21"/>
        <v>1.0865369912882596</v>
      </c>
      <c r="X105">
        <f t="shared" ca="1" si="22"/>
        <v>98.283909764942351</v>
      </c>
    </row>
    <row r="106" spans="1:24" x14ac:dyDescent="0.25">
      <c r="A106">
        <f t="shared" ca="1" si="13"/>
        <v>95.224288860973857</v>
      </c>
      <c r="N106">
        <f t="shared" si="18"/>
        <v>0.3916666666666665</v>
      </c>
      <c r="O106" cm="1">
        <f t="array" aca="1" ref="O106" ca="1">mu*dt_1*R105</f>
        <v>3.2054835741519364E-2</v>
      </c>
      <c r="P106">
        <f t="shared" ca="1" si="14"/>
        <v>-0.97227319932575973</v>
      </c>
      <c r="Q106">
        <f t="shared" ca="1" si="19"/>
        <v>-0.94021836358424038</v>
      </c>
      <c r="R106">
        <f t="shared" ca="1" si="20"/>
        <v>95.224288860973857</v>
      </c>
      <c r="T106">
        <f t="shared" si="15"/>
        <v>0.3916666666666665</v>
      </c>
      <c r="U106">
        <f t="shared" ca="1" si="16"/>
        <v>3.2761303254980785E-2</v>
      </c>
      <c r="V106">
        <f t="shared" ca="1" si="17"/>
        <v>-0.81659247700108373</v>
      </c>
      <c r="W106">
        <f t="shared" ca="1" si="21"/>
        <v>-0.78383117374610289</v>
      </c>
      <c r="X106">
        <f t="shared" ca="1" si="22"/>
        <v>97.500078591196242</v>
      </c>
    </row>
    <row r="107" spans="1:24" x14ac:dyDescent="0.25">
      <c r="A107">
        <f t="shared" ca="1" si="13"/>
        <v>95.991954667399838</v>
      </c>
      <c r="N107">
        <f t="shared" si="18"/>
        <v>0.39583333333333315</v>
      </c>
      <c r="O107" cm="1">
        <f t="array" aca="1" ref="O107" ca="1">mu*dt_1*R106</f>
        <v>3.174142962032462E-2</v>
      </c>
      <c r="P107">
        <f t="shared" ca="1" si="14"/>
        <v>0.7359243768056537</v>
      </c>
      <c r="Q107">
        <f t="shared" ca="1" si="19"/>
        <v>0.76766580642597837</v>
      </c>
      <c r="R107">
        <f t="shared" ca="1" si="20"/>
        <v>95.991954667399838</v>
      </c>
      <c r="T107">
        <f t="shared" si="15"/>
        <v>0.39583333333333315</v>
      </c>
      <c r="U107">
        <f t="shared" ca="1" si="16"/>
        <v>3.2500026197065414E-2</v>
      </c>
      <c r="V107">
        <f t="shared" ca="1" si="17"/>
        <v>1.3770493405979922</v>
      </c>
      <c r="W107">
        <f t="shared" ca="1" si="21"/>
        <v>1.4095493667950576</v>
      </c>
      <c r="X107">
        <f t="shared" ca="1" si="22"/>
        <v>98.909627957991304</v>
      </c>
    </row>
    <row r="108" spans="1:24" x14ac:dyDescent="0.25">
      <c r="A108">
        <f t="shared" ca="1" si="13"/>
        <v>95.409911404583298</v>
      </c>
      <c r="N108">
        <f t="shared" si="18"/>
        <v>0.3999999999999998</v>
      </c>
      <c r="O108" cm="1">
        <f t="array" aca="1" ref="O108" ca="1">mu*dt_1*R107</f>
        <v>3.1997318222466611E-2</v>
      </c>
      <c r="P108">
        <f t="shared" ca="1" si="14"/>
        <v>-0.61404058103900816</v>
      </c>
      <c r="Q108">
        <f t="shared" ca="1" si="19"/>
        <v>-0.58204326281654151</v>
      </c>
      <c r="R108">
        <f t="shared" ca="1" si="20"/>
        <v>95.409911404583298</v>
      </c>
      <c r="T108">
        <f t="shared" si="15"/>
        <v>0.3999999999999998</v>
      </c>
      <c r="U108">
        <f t="shared" ca="1" si="16"/>
        <v>3.2969875985997099E-2</v>
      </c>
      <c r="V108">
        <f t="shared" ca="1" si="17"/>
        <v>-2.1151015225000331</v>
      </c>
      <c r="W108">
        <f t="shared" ca="1" si="21"/>
        <v>-2.082131646514036</v>
      </c>
      <c r="X108">
        <f t="shared" ca="1" si="22"/>
        <v>96.827496311477262</v>
      </c>
    </row>
    <row r="109" spans="1:24" x14ac:dyDescent="0.25">
      <c r="A109">
        <f t="shared" ca="1" si="13"/>
        <v>95.2954257811123</v>
      </c>
      <c r="N109">
        <f t="shared" si="18"/>
        <v>0.40416666666666645</v>
      </c>
      <c r="O109" cm="1">
        <f t="array" aca="1" ref="O109" ca="1">mu*dt_1*R108</f>
        <v>3.1803303801527766E-2</v>
      </c>
      <c r="P109">
        <f t="shared" ca="1" si="14"/>
        <v>-0.14628892727252799</v>
      </c>
      <c r="Q109">
        <f t="shared" ca="1" si="19"/>
        <v>-0.11448562347100022</v>
      </c>
      <c r="R109">
        <f t="shared" ca="1" si="20"/>
        <v>95.2954257811123</v>
      </c>
      <c r="T109">
        <f t="shared" si="15"/>
        <v>0.40416666666666645</v>
      </c>
      <c r="U109">
        <f t="shared" ca="1" si="16"/>
        <v>3.2275832103825758E-2</v>
      </c>
      <c r="V109">
        <f t="shared" ca="1" si="17"/>
        <v>-1.3086434688857105</v>
      </c>
      <c r="W109">
        <f t="shared" ca="1" si="21"/>
        <v>-1.2763676367818848</v>
      </c>
      <c r="X109">
        <f t="shared" ca="1" si="22"/>
        <v>95.551128674695377</v>
      </c>
    </row>
    <row r="110" spans="1:24" x14ac:dyDescent="0.25">
      <c r="A110">
        <f t="shared" ca="1" si="13"/>
        <v>94.995616437381983</v>
      </c>
      <c r="N110">
        <f t="shared" si="18"/>
        <v>0.4083333333333331</v>
      </c>
      <c r="O110" cm="1">
        <f t="array" aca="1" ref="O110" ca="1">mu*dt_1*R109</f>
        <v>3.176514192703743E-2</v>
      </c>
      <c r="P110">
        <f t="shared" ca="1" si="14"/>
        <v>0.60250781256593178</v>
      </c>
      <c r="Q110">
        <f t="shared" ca="1" si="19"/>
        <v>0.63427295449296917</v>
      </c>
      <c r="R110">
        <f t="shared" ca="1" si="20"/>
        <v>95.929698735605271</v>
      </c>
      <c r="T110">
        <f t="shared" si="15"/>
        <v>0.4083333333333331</v>
      </c>
      <c r="U110">
        <f t="shared" ca="1" si="16"/>
        <v>3.1850376224898461E-2</v>
      </c>
      <c r="V110">
        <f t="shared" ca="1" si="17"/>
        <v>-0.58736261353828889</v>
      </c>
      <c r="W110">
        <f t="shared" ca="1" si="21"/>
        <v>-0.55551223731339039</v>
      </c>
      <c r="X110">
        <f t="shared" ca="1" si="22"/>
        <v>94.995616437381983</v>
      </c>
    </row>
    <row r="111" spans="1:24" x14ac:dyDescent="0.25">
      <c r="A111">
        <f t="shared" ca="1" si="13"/>
        <v>95.654024159326653</v>
      </c>
      <c r="N111">
        <f t="shared" si="18"/>
        <v>0.41249999999999976</v>
      </c>
      <c r="O111" cm="1">
        <f t="array" aca="1" ref="O111" ca="1">mu*dt_1*R110</f>
        <v>3.1976566245201753E-2</v>
      </c>
      <c r="P111">
        <f t="shared" ca="1" si="14"/>
        <v>1.2316826198060886</v>
      </c>
      <c r="Q111">
        <f t="shared" ca="1" si="19"/>
        <v>1.2636591860512905</v>
      </c>
      <c r="R111">
        <f t="shared" ca="1" si="20"/>
        <v>97.193357921656556</v>
      </c>
      <c r="T111">
        <f t="shared" si="15"/>
        <v>0.41249999999999976</v>
      </c>
      <c r="U111">
        <f t="shared" ca="1" si="16"/>
        <v>3.1665205479127323E-2</v>
      </c>
      <c r="V111">
        <f t="shared" ca="1" si="17"/>
        <v>0.62674251646554102</v>
      </c>
      <c r="W111">
        <f t="shared" ca="1" si="21"/>
        <v>0.65840772194466834</v>
      </c>
      <c r="X111">
        <f t="shared" ca="1" si="22"/>
        <v>95.654024159326653</v>
      </c>
    </row>
    <row r="112" spans="1:24" x14ac:dyDescent="0.25">
      <c r="A112">
        <f t="shared" ca="1" si="13"/>
        <v>93.613348380981279</v>
      </c>
      <c r="N112">
        <f t="shared" si="18"/>
        <v>0.41666666666666641</v>
      </c>
      <c r="O112" cm="1">
        <f t="array" aca="1" ref="O112" ca="1">mu*dt_1*R111</f>
        <v>3.2397785973885519E-2</v>
      </c>
      <c r="P112">
        <f t="shared" ca="1" si="14"/>
        <v>-2.5010042153780461</v>
      </c>
      <c r="Q112">
        <f t="shared" ca="1" si="19"/>
        <v>-2.4686064294041605</v>
      </c>
      <c r="R112">
        <f t="shared" ca="1" si="20"/>
        <v>94.724751492252395</v>
      </c>
      <c r="T112">
        <f t="shared" si="15"/>
        <v>0.41666666666666641</v>
      </c>
      <c r="U112">
        <f t="shared" ca="1" si="16"/>
        <v>3.1884674719775553E-2</v>
      </c>
      <c r="V112">
        <f t="shared" ca="1" si="17"/>
        <v>-2.0725604530651567</v>
      </c>
      <c r="W112">
        <f t="shared" ca="1" si="21"/>
        <v>-2.0406757783453813</v>
      </c>
      <c r="X112">
        <f t="shared" ca="1" si="22"/>
        <v>93.613348380981279</v>
      </c>
    </row>
    <row r="113" spans="1:24" x14ac:dyDescent="0.25">
      <c r="A113">
        <f t="shared" ca="1" si="13"/>
        <v>94.017007729349942</v>
      </c>
      <c r="N113">
        <f t="shared" si="18"/>
        <v>0.42083333333333306</v>
      </c>
      <c r="O113" cm="1">
        <f t="array" aca="1" ref="O113" ca="1">mu*dt_1*R112</f>
        <v>3.1574917164084129E-2</v>
      </c>
      <c r="P113">
        <f t="shared" ca="1" si="14"/>
        <v>-0.45982593235763369</v>
      </c>
      <c r="Q113">
        <f t="shared" ca="1" si="19"/>
        <v>-0.42825101519354958</v>
      </c>
      <c r="R113">
        <f t="shared" ca="1" si="20"/>
        <v>94.296500477058842</v>
      </c>
      <c r="T113">
        <f t="shared" si="15"/>
        <v>0.42083333333333306</v>
      </c>
      <c r="U113">
        <f t="shared" ca="1" si="16"/>
        <v>3.1204449460327091E-2</v>
      </c>
      <c r="V113">
        <f t="shared" ca="1" si="17"/>
        <v>0.37245489890833122</v>
      </c>
      <c r="W113">
        <f t="shared" ca="1" si="21"/>
        <v>0.4036593483686583</v>
      </c>
      <c r="X113">
        <f t="shared" ca="1" si="22"/>
        <v>94.017007729349942</v>
      </c>
    </row>
    <row r="114" spans="1:24" x14ac:dyDescent="0.25">
      <c r="A114">
        <f t="shared" ca="1" si="13"/>
        <v>90.314112395427642</v>
      </c>
      <c r="N114">
        <f t="shared" si="18"/>
        <v>0.42499999999999971</v>
      </c>
      <c r="O114" cm="1">
        <f t="array" aca="1" ref="O114" ca="1">mu*dt_1*R113</f>
        <v>3.1432166825686281E-2</v>
      </c>
      <c r="P114">
        <f t="shared" ca="1" si="14"/>
        <v>-4.0138202484568914</v>
      </c>
      <c r="Q114">
        <f t="shared" ca="1" si="19"/>
        <v>-3.9823880816312052</v>
      </c>
      <c r="R114">
        <f t="shared" ca="1" si="20"/>
        <v>90.314112395427642</v>
      </c>
      <c r="T114">
        <f t="shared" si="15"/>
        <v>0.42499999999999971</v>
      </c>
      <c r="U114">
        <f t="shared" ca="1" si="16"/>
        <v>3.1339002576449983E-2</v>
      </c>
      <c r="V114">
        <f t="shared" ca="1" si="17"/>
        <v>1.3112148556768342</v>
      </c>
      <c r="W114">
        <f t="shared" ca="1" si="21"/>
        <v>1.3425538582532841</v>
      </c>
      <c r="X114">
        <f t="shared" ca="1" si="22"/>
        <v>95.359561587603224</v>
      </c>
    </row>
    <row r="115" spans="1:24" x14ac:dyDescent="0.25">
      <c r="A115">
        <f t="shared" ca="1" si="13"/>
        <v>89.866998876757464</v>
      </c>
      <c r="N115">
        <f t="shared" si="18"/>
        <v>0.42916666666666636</v>
      </c>
      <c r="O115" cm="1">
        <f t="array" aca="1" ref="O115" ca="1">mu*dt_1*R114</f>
        <v>3.0104704131809212E-2</v>
      </c>
      <c r="P115">
        <f t="shared" ca="1" si="14"/>
        <v>-0.47721822280198195</v>
      </c>
      <c r="Q115">
        <f t="shared" ca="1" si="19"/>
        <v>-0.44711351867017274</v>
      </c>
      <c r="R115">
        <f t="shared" ca="1" si="20"/>
        <v>89.866998876757464</v>
      </c>
      <c r="T115">
        <f t="shared" si="15"/>
        <v>0.42916666666666636</v>
      </c>
      <c r="U115">
        <f t="shared" ca="1" si="16"/>
        <v>3.1786520529201077E-2</v>
      </c>
      <c r="V115">
        <f t="shared" ca="1" si="17"/>
        <v>1.5841709034404015</v>
      </c>
      <c r="W115">
        <f t="shared" ca="1" si="21"/>
        <v>1.6159574239696026</v>
      </c>
      <c r="X115">
        <f t="shared" ca="1" si="22"/>
        <v>96.975519011572828</v>
      </c>
    </row>
    <row r="116" spans="1:24" x14ac:dyDescent="0.25">
      <c r="A116">
        <f t="shared" ca="1" si="13"/>
        <v>91.094585482191889</v>
      </c>
      <c r="N116">
        <f t="shared" si="18"/>
        <v>0.43333333333333302</v>
      </c>
      <c r="O116" cm="1">
        <f t="array" aca="1" ref="O116" ca="1">mu*dt_1*R115</f>
        <v>2.9955666292252488E-2</v>
      </c>
      <c r="P116">
        <f t="shared" ca="1" si="14"/>
        <v>1.1976309391421729</v>
      </c>
      <c r="Q116">
        <f t="shared" ca="1" si="19"/>
        <v>1.2275866054344253</v>
      </c>
      <c r="R116">
        <f t="shared" ca="1" si="20"/>
        <v>91.094585482191889</v>
      </c>
      <c r="T116">
        <f t="shared" si="15"/>
        <v>0.43333333333333302</v>
      </c>
      <c r="U116">
        <f t="shared" ca="1" si="16"/>
        <v>3.2325173003857607E-2</v>
      </c>
      <c r="V116">
        <f t="shared" ca="1" si="17"/>
        <v>-0.1920561018879593</v>
      </c>
      <c r="W116">
        <f t="shared" ca="1" si="21"/>
        <v>-0.15973092888410168</v>
      </c>
      <c r="X116">
        <f t="shared" ca="1" si="22"/>
        <v>96.815788082688726</v>
      </c>
    </row>
    <row r="117" spans="1:24" x14ac:dyDescent="0.25">
      <c r="A117">
        <f t="shared" ca="1" si="13"/>
        <v>91.638703033997388</v>
      </c>
      <c r="N117">
        <f t="shared" si="18"/>
        <v>0.43749999999999967</v>
      </c>
      <c r="O117" cm="1">
        <f t="array" aca="1" ref="O117" ca="1">mu*dt_1*R116</f>
        <v>3.0364861827397296E-2</v>
      </c>
      <c r="P117">
        <f t="shared" ca="1" si="14"/>
        <v>0.51375268997809487</v>
      </c>
      <c r="Q117">
        <f t="shared" ca="1" si="19"/>
        <v>0.54411755180549215</v>
      </c>
      <c r="R117">
        <f t="shared" ca="1" si="20"/>
        <v>91.638703033997388</v>
      </c>
      <c r="T117">
        <f t="shared" si="15"/>
        <v>0.43749999999999967</v>
      </c>
      <c r="U117">
        <f t="shared" ca="1" si="16"/>
        <v>3.2271929360896241E-2</v>
      </c>
      <c r="V117">
        <f t="shared" ca="1" si="17"/>
        <v>0.39776489776911</v>
      </c>
      <c r="W117">
        <f t="shared" ca="1" si="21"/>
        <v>0.43003682713000624</v>
      </c>
      <c r="X117">
        <f t="shared" ca="1" si="22"/>
        <v>97.245824909818737</v>
      </c>
    </row>
    <row r="118" spans="1:24" x14ac:dyDescent="0.25">
      <c r="A118">
        <f t="shared" ca="1" si="13"/>
        <v>92.656867065595449</v>
      </c>
      <c r="N118">
        <f t="shared" si="18"/>
        <v>0.44166666666666632</v>
      </c>
      <c r="O118" cm="1">
        <f t="array" aca="1" ref="O118" ca="1">mu*dt_1*R117</f>
        <v>3.0546234344665794E-2</v>
      </c>
      <c r="P118">
        <f t="shared" ca="1" si="14"/>
        <v>0.98761779725339716</v>
      </c>
      <c r="Q118">
        <f t="shared" ca="1" si="19"/>
        <v>1.0181640315980629</v>
      </c>
      <c r="R118">
        <f t="shared" ca="1" si="20"/>
        <v>92.656867065595449</v>
      </c>
      <c r="T118">
        <f t="shared" si="15"/>
        <v>0.44166666666666632</v>
      </c>
      <c r="U118">
        <f t="shared" ca="1" si="16"/>
        <v>3.2415274969939581E-2</v>
      </c>
      <c r="V118">
        <f t="shared" ca="1" si="17"/>
        <v>-1.0801124806363283</v>
      </c>
      <c r="W118">
        <f t="shared" ca="1" si="21"/>
        <v>-1.0476972056663887</v>
      </c>
      <c r="X118">
        <f t="shared" ca="1" si="22"/>
        <v>96.198127704152341</v>
      </c>
    </row>
    <row r="119" spans="1:24" x14ac:dyDescent="0.25">
      <c r="A119">
        <f t="shared" ca="1" si="13"/>
        <v>95.781704136599458</v>
      </c>
      <c r="N119">
        <f t="shared" si="18"/>
        <v>0.44583333333333297</v>
      </c>
      <c r="O119" cm="1">
        <f t="array" aca="1" ref="O119" ca="1">mu*dt_1*R118</f>
        <v>3.0885622355198483E-2</v>
      </c>
      <c r="P119">
        <f t="shared" ca="1" si="14"/>
        <v>3.093951448648804</v>
      </c>
      <c r="Q119">
        <f t="shared" ca="1" si="19"/>
        <v>3.1248370710040025</v>
      </c>
      <c r="R119">
        <f t="shared" ca="1" si="20"/>
        <v>95.781704136599458</v>
      </c>
      <c r="T119">
        <f t="shared" si="15"/>
        <v>0.44583333333333297</v>
      </c>
      <c r="U119">
        <f t="shared" ca="1" si="16"/>
        <v>3.2066042568050783E-2</v>
      </c>
      <c r="V119">
        <f t="shared" ca="1" si="17"/>
        <v>1.7198546109134298</v>
      </c>
      <c r="W119">
        <f t="shared" ca="1" si="21"/>
        <v>1.7519206534814806</v>
      </c>
      <c r="X119">
        <f t="shared" ca="1" si="22"/>
        <v>97.950048357633818</v>
      </c>
    </row>
    <row r="120" spans="1:24" x14ac:dyDescent="0.25">
      <c r="A120">
        <f t="shared" ca="1" si="13"/>
        <v>94.900653006663916</v>
      </c>
      <c r="N120">
        <f t="shared" si="18"/>
        <v>0.44999999999999962</v>
      </c>
      <c r="O120" cm="1">
        <f t="array" aca="1" ref="O120" ca="1">mu*dt_1*R119</f>
        <v>3.1927234712199819E-2</v>
      </c>
      <c r="P120">
        <f t="shared" ca="1" si="14"/>
        <v>-0.9129783646477494</v>
      </c>
      <c r="Q120">
        <f t="shared" ca="1" si="19"/>
        <v>-0.88105112993554957</v>
      </c>
      <c r="R120">
        <f t="shared" ca="1" si="20"/>
        <v>94.900653006663916</v>
      </c>
      <c r="T120">
        <f t="shared" si="15"/>
        <v>0.44999999999999962</v>
      </c>
      <c r="U120">
        <f t="shared" ca="1" si="16"/>
        <v>3.2650016119211277E-2</v>
      </c>
      <c r="V120">
        <f t="shared" ca="1" si="17"/>
        <v>0.68415309016317583</v>
      </c>
      <c r="W120">
        <f t="shared" ca="1" si="21"/>
        <v>0.71680310628238708</v>
      </c>
      <c r="X120">
        <f t="shared" ca="1" si="22"/>
        <v>98.666851463916203</v>
      </c>
    </row>
    <row r="121" spans="1:24" x14ac:dyDescent="0.25">
      <c r="A121">
        <f t="shared" ca="1" si="13"/>
        <v>96.050004368524966</v>
      </c>
      <c r="N121">
        <f t="shared" si="18"/>
        <v>0.45416666666666627</v>
      </c>
      <c r="O121" cm="1">
        <f t="array" aca="1" ref="O121" ca="1">mu*dt_1*R120</f>
        <v>3.1633551002221302E-2</v>
      </c>
      <c r="P121">
        <f t="shared" ca="1" si="14"/>
        <v>1.1177178108588337</v>
      </c>
      <c r="Q121">
        <f t="shared" ca="1" si="19"/>
        <v>1.1493513618610549</v>
      </c>
      <c r="R121">
        <f t="shared" ca="1" si="20"/>
        <v>96.050004368524966</v>
      </c>
      <c r="T121">
        <f t="shared" si="15"/>
        <v>0.45416666666666627</v>
      </c>
      <c r="U121">
        <f t="shared" ca="1" si="16"/>
        <v>3.2888950487972066E-2</v>
      </c>
      <c r="V121">
        <f t="shared" ca="1" si="17"/>
        <v>0.46892228110607853</v>
      </c>
      <c r="W121">
        <f t="shared" ca="1" si="21"/>
        <v>0.50181123159405061</v>
      </c>
      <c r="X121">
        <f t="shared" ca="1" si="22"/>
        <v>99.16866269551025</v>
      </c>
    </row>
    <row r="122" spans="1:24" x14ac:dyDescent="0.25">
      <c r="A122">
        <f t="shared" ca="1" si="13"/>
        <v>98.174178403590389</v>
      </c>
      <c r="N122">
        <f t="shared" si="18"/>
        <v>0.45833333333333293</v>
      </c>
      <c r="O122" cm="1">
        <f t="array" aca="1" ref="O122" ca="1">mu*dt_1*R121</f>
        <v>3.2016668122841652E-2</v>
      </c>
      <c r="P122">
        <f t="shared" ca="1" si="14"/>
        <v>2.0921573669425872</v>
      </c>
      <c r="Q122">
        <f t="shared" ca="1" si="19"/>
        <v>2.1241740350654288</v>
      </c>
      <c r="R122">
        <f t="shared" ca="1" si="20"/>
        <v>98.174178403590389</v>
      </c>
      <c r="T122">
        <f t="shared" si="15"/>
        <v>0.45833333333333293</v>
      </c>
      <c r="U122">
        <f t="shared" ca="1" si="16"/>
        <v>3.3056220898503422E-2</v>
      </c>
      <c r="V122">
        <f t="shared" ca="1" si="17"/>
        <v>-0.25745280383322872</v>
      </c>
      <c r="W122">
        <f t="shared" ca="1" si="21"/>
        <v>-0.22439658293472531</v>
      </c>
      <c r="X122">
        <f t="shared" ca="1" si="22"/>
        <v>98.944266112575519</v>
      </c>
    </row>
    <row r="123" spans="1:24" x14ac:dyDescent="0.25">
      <c r="A123">
        <f t="shared" ca="1" si="13"/>
        <v>98.026891373513237</v>
      </c>
      <c r="N123">
        <f t="shared" si="18"/>
        <v>0.46249999999999958</v>
      </c>
      <c r="O123" cm="1">
        <f t="array" aca="1" ref="O123" ca="1">mu*dt_1*R122</f>
        <v>3.2724726134530126E-2</v>
      </c>
      <c r="P123">
        <f t="shared" ca="1" si="14"/>
        <v>-0.18001175621168755</v>
      </c>
      <c r="Q123">
        <f t="shared" ca="1" si="19"/>
        <v>-0.14728703007715743</v>
      </c>
      <c r="R123">
        <f t="shared" ca="1" si="20"/>
        <v>98.026891373513237</v>
      </c>
      <c r="T123">
        <f t="shared" si="15"/>
        <v>0.46249999999999958</v>
      </c>
      <c r="U123">
        <f t="shared" ca="1" si="16"/>
        <v>3.2981422037525174E-2</v>
      </c>
      <c r="V123">
        <f t="shared" ca="1" si="17"/>
        <v>1.3231663083244449E-2</v>
      </c>
      <c r="W123">
        <f t="shared" ca="1" si="21"/>
        <v>4.6213085120769624E-2</v>
      </c>
      <c r="X123">
        <f t="shared" ca="1" si="22"/>
        <v>98.990479197696288</v>
      </c>
    </row>
    <row r="124" spans="1:24" x14ac:dyDescent="0.25">
      <c r="A124">
        <f t="shared" ca="1" si="13"/>
        <v>98.586201975788015</v>
      </c>
      <c r="N124">
        <f t="shared" si="18"/>
        <v>0.46666666666666623</v>
      </c>
      <c r="O124" cm="1">
        <f t="array" aca="1" ref="O124" ca="1">mu*dt_1*R123</f>
        <v>3.2675630457837744E-2</v>
      </c>
      <c r="P124">
        <f t="shared" ca="1" si="14"/>
        <v>0.52663497181694496</v>
      </c>
      <c r="Q124">
        <f t="shared" ca="1" si="19"/>
        <v>0.55931060227478269</v>
      </c>
      <c r="R124">
        <f t="shared" ca="1" si="20"/>
        <v>98.586201975788015</v>
      </c>
      <c r="T124">
        <f t="shared" si="15"/>
        <v>0.46666666666666623</v>
      </c>
      <c r="U124">
        <f t="shared" ca="1" si="16"/>
        <v>3.2996826399232099E-2</v>
      </c>
      <c r="V124">
        <f t="shared" ca="1" si="17"/>
        <v>-0.24205065564687325</v>
      </c>
      <c r="W124">
        <f t="shared" ca="1" si="21"/>
        <v>-0.20905382924764115</v>
      </c>
      <c r="X124">
        <f t="shared" ca="1" si="22"/>
        <v>98.781425368448652</v>
      </c>
    </row>
    <row r="125" spans="1:24" x14ac:dyDescent="0.25">
      <c r="A125">
        <f t="shared" ca="1" si="13"/>
        <v>97.050665180874105</v>
      </c>
      <c r="N125">
        <f t="shared" si="18"/>
        <v>0.47083333333333288</v>
      </c>
      <c r="O125" cm="1">
        <f t="array" aca="1" ref="O125" ca="1">mu*dt_1*R124</f>
        <v>3.2862067325262673E-2</v>
      </c>
      <c r="P125">
        <f t="shared" ca="1" si="14"/>
        <v>0.65594017481726019</v>
      </c>
      <c r="Q125">
        <f t="shared" ca="1" si="19"/>
        <v>0.68880224214252284</v>
      </c>
      <c r="R125">
        <f t="shared" ca="1" si="20"/>
        <v>99.275004217930544</v>
      </c>
      <c r="T125">
        <f t="shared" si="15"/>
        <v>0.47083333333333288</v>
      </c>
      <c r="U125">
        <f t="shared" ca="1" si="16"/>
        <v>3.2927141789482882E-2</v>
      </c>
      <c r="V125">
        <f t="shared" ca="1" si="17"/>
        <v>-1.7636873293640352</v>
      </c>
      <c r="W125">
        <f t="shared" ca="1" si="21"/>
        <v>-1.7307601875745522</v>
      </c>
      <c r="X125">
        <f t="shared" ca="1" si="22"/>
        <v>97.050665180874105</v>
      </c>
    </row>
    <row r="126" spans="1:24" x14ac:dyDescent="0.25">
      <c r="A126">
        <f t="shared" ca="1" si="13"/>
        <v>97.001949646382329</v>
      </c>
      <c r="N126">
        <f t="shared" si="18"/>
        <v>0.47499999999999953</v>
      </c>
      <c r="O126" cm="1">
        <f t="array" aca="1" ref="O126" ca="1">mu*dt_1*R125</f>
        <v>3.3091668072643514E-2</v>
      </c>
      <c r="P126">
        <f t="shared" ca="1" si="14"/>
        <v>0.72914465687804964</v>
      </c>
      <c r="Q126">
        <f t="shared" ca="1" si="19"/>
        <v>0.76223632495069316</v>
      </c>
      <c r="R126">
        <f t="shared" ca="1" si="20"/>
        <v>100.03724054288124</v>
      </c>
      <c r="T126">
        <f t="shared" si="15"/>
        <v>0.47499999999999953</v>
      </c>
      <c r="U126">
        <f t="shared" ca="1" si="16"/>
        <v>3.2350221726958034E-2</v>
      </c>
      <c r="V126">
        <f t="shared" ca="1" si="17"/>
        <v>-8.1065756218737323E-2</v>
      </c>
      <c r="W126">
        <f t="shared" ca="1" si="21"/>
        <v>-4.8715534491779289E-2</v>
      </c>
      <c r="X126">
        <f t="shared" ca="1" si="22"/>
        <v>97.001949646382329</v>
      </c>
    </row>
    <row r="127" spans="1:24" x14ac:dyDescent="0.25">
      <c r="A127">
        <f t="shared" ca="1" si="13"/>
        <v>98.277980208105973</v>
      </c>
      <c r="N127">
        <f t="shared" si="18"/>
        <v>0.47916666666666619</v>
      </c>
      <c r="O127" cm="1">
        <f t="array" aca="1" ref="O127" ca="1">mu*dt_1*R126</f>
        <v>3.3345746847627075E-2</v>
      </c>
      <c r="P127">
        <f t="shared" ca="1" si="14"/>
        <v>-1.4061791758264179</v>
      </c>
      <c r="Q127">
        <f t="shared" ca="1" si="19"/>
        <v>-1.3728334289787909</v>
      </c>
      <c r="R127">
        <f t="shared" ca="1" si="20"/>
        <v>98.664407113902442</v>
      </c>
      <c r="T127">
        <f t="shared" si="15"/>
        <v>0.47916666666666619</v>
      </c>
      <c r="U127">
        <f t="shared" ca="1" si="16"/>
        <v>3.2333983215460778E-2</v>
      </c>
      <c r="V127">
        <f t="shared" ca="1" si="17"/>
        <v>1.2436965785081862</v>
      </c>
      <c r="W127">
        <f t="shared" ca="1" si="21"/>
        <v>1.2760305617236469</v>
      </c>
      <c r="X127">
        <f t="shared" ca="1" si="22"/>
        <v>98.277980208105973</v>
      </c>
    </row>
    <row r="128" spans="1:24" x14ac:dyDescent="0.25">
      <c r="A128">
        <f t="shared" ca="1" si="13"/>
        <v>98.080984307098163</v>
      </c>
      <c r="N128">
        <f t="shared" si="18"/>
        <v>0.48333333333333284</v>
      </c>
      <c r="O128" cm="1">
        <f t="array" aca="1" ref="O128" ca="1">mu*dt_1*R127</f>
        <v>3.2888135704634149E-2</v>
      </c>
      <c r="P128">
        <f t="shared" ca="1" si="14"/>
        <v>-0.61631094250891461</v>
      </c>
      <c r="Q128">
        <f t="shared" ca="1" si="19"/>
        <v>-0.58342280680428049</v>
      </c>
      <c r="R128">
        <f t="shared" ca="1" si="20"/>
        <v>98.080984307098163</v>
      </c>
      <c r="T128">
        <f t="shared" si="15"/>
        <v>0.48333333333333284</v>
      </c>
      <c r="U128">
        <f t="shared" ca="1" si="16"/>
        <v>3.2759326736035321E-2</v>
      </c>
      <c r="V128">
        <f t="shared" ca="1" si="17"/>
        <v>8.391041172540116E-2</v>
      </c>
      <c r="W128">
        <f t="shared" ca="1" si="21"/>
        <v>0.11666973846143648</v>
      </c>
      <c r="X128">
        <f t="shared" ca="1" si="22"/>
        <v>98.394649946567412</v>
      </c>
    </row>
    <row r="129" spans="1:24" x14ac:dyDescent="0.25">
      <c r="A129">
        <f t="shared" ca="1" si="13"/>
        <v>98.061307555546975</v>
      </c>
      <c r="N129">
        <f t="shared" si="18"/>
        <v>0.48749999999999949</v>
      </c>
      <c r="O129" cm="1">
        <f t="array" aca="1" ref="O129" ca="1">mu*dt_1*R128</f>
        <v>3.2693661435699385E-2</v>
      </c>
      <c r="P129">
        <f t="shared" ca="1" si="14"/>
        <v>-5.2370412986884357E-2</v>
      </c>
      <c r="Q129">
        <f t="shared" ca="1" si="19"/>
        <v>-1.9676751551184972E-2</v>
      </c>
      <c r="R129">
        <f t="shared" ca="1" si="20"/>
        <v>98.061307555546975</v>
      </c>
      <c r="T129">
        <f t="shared" si="15"/>
        <v>0.48749999999999949</v>
      </c>
      <c r="U129">
        <f t="shared" ca="1" si="16"/>
        <v>3.2798216648855807E-2</v>
      </c>
      <c r="V129">
        <f t="shared" ca="1" si="17"/>
        <v>1.0714187862061955</v>
      </c>
      <c r="W129">
        <f t="shared" ca="1" si="21"/>
        <v>1.1042170028550513</v>
      </c>
      <c r="X129">
        <f t="shared" ca="1" si="22"/>
        <v>99.498866949422464</v>
      </c>
    </row>
    <row r="130" spans="1:24" x14ac:dyDescent="0.25">
      <c r="A130">
        <f t="shared" ca="1" si="13"/>
        <v>97.595907185391482</v>
      </c>
      <c r="N130">
        <f t="shared" si="18"/>
        <v>0.49166666666666614</v>
      </c>
      <c r="O130" cm="1">
        <f t="array" aca="1" ref="O130" ca="1">mu*dt_1*R129</f>
        <v>3.2687102518515657E-2</v>
      </c>
      <c r="P130">
        <f t="shared" ca="1" si="14"/>
        <v>-0.49808747267401249</v>
      </c>
      <c r="Q130">
        <f t="shared" ca="1" si="19"/>
        <v>-0.46540037015549685</v>
      </c>
      <c r="R130">
        <f t="shared" ca="1" si="20"/>
        <v>97.595907185391482</v>
      </c>
      <c r="T130">
        <f t="shared" si="15"/>
        <v>0.49166666666666614</v>
      </c>
      <c r="U130">
        <f t="shared" ca="1" si="16"/>
        <v>3.3166288983140821E-2</v>
      </c>
      <c r="V130">
        <f t="shared" ca="1" si="17"/>
        <v>0.16626122698801055</v>
      </c>
      <c r="W130">
        <f t="shared" ca="1" si="21"/>
        <v>0.19942751597115138</v>
      </c>
      <c r="X130">
        <f t="shared" ca="1" si="22"/>
        <v>99.698294465393616</v>
      </c>
    </row>
    <row r="131" spans="1:24" x14ac:dyDescent="0.25">
      <c r="A131">
        <f t="shared" ca="1" si="13"/>
        <v>99.097801713136533</v>
      </c>
      <c r="N131">
        <f t="shared" si="18"/>
        <v>0.49583333333333279</v>
      </c>
      <c r="O131" cm="1">
        <f t="array" aca="1" ref="O131" ca="1">mu*dt_1*R130</f>
        <v>3.2531969061797159E-2</v>
      </c>
      <c r="P131">
        <f t="shared" ca="1" si="14"/>
        <v>1.4693625586832526</v>
      </c>
      <c r="Q131">
        <f t="shared" ca="1" si="19"/>
        <v>1.5018945277450497</v>
      </c>
      <c r="R131">
        <f t="shared" ca="1" si="20"/>
        <v>99.097801713136533</v>
      </c>
      <c r="T131">
        <f t="shared" si="15"/>
        <v>0.49583333333333279</v>
      </c>
      <c r="U131">
        <f t="shared" ca="1" si="16"/>
        <v>3.3232764821797871E-2</v>
      </c>
      <c r="V131">
        <f t="shared" ca="1" si="17"/>
        <v>0.53377481432427887</v>
      </c>
      <c r="W131">
        <f t="shared" ca="1" si="21"/>
        <v>0.56700757914607669</v>
      </c>
      <c r="X131">
        <f t="shared" ca="1" si="22"/>
        <v>100.26530204453969</v>
      </c>
    </row>
    <row r="132" spans="1:24" x14ac:dyDescent="0.25">
      <c r="A132">
        <f t="shared" ca="1" si="13"/>
        <v>99.701698170727255</v>
      </c>
      <c r="N132">
        <f t="shared" si="18"/>
        <v>0.49999999999999944</v>
      </c>
      <c r="O132" cm="1">
        <f t="array" aca="1" ref="O132" ca="1">mu*dt_1*R131</f>
        <v>3.3032600571045512E-2</v>
      </c>
      <c r="P132">
        <f t="shared" ca="1" si="14"/>
        <v>0.57086385701967801</v>
      </c>
      <c r="Q132">
        <f t="shared" ca="1" si="19"/>
        <v>0.60389645759072352</v>
      </c>
      <c r="R132">
        <f t="shared" ca="1" si="20"/>
        <v>99.701698170727255</v>
      </c>
      <c r="T132">
        <f t="shared" si="15"/>
        <v>0.49999999999999944</v>
      </c>
      <c r="U132">
        <f t="shared" ca="1" si="16"/>
        <v>3.34217673481799E-2</v>
      </c>
      <c r="V132">
        <f t="shared" ca="1" si="17"/>
        <v>0.57857024207865337</v>
      </c>
      <c r="W132">
        <f t="shared" ca="1" si="21"/>
        <v>0.61199200942683329</v>
      </c>
      <c r="X132">
        <f t="shared" ca="1" si="22"/>
        <v>100.87729405396652</v>
      </c>
    </row>
    <row r="133" spans="1:24" x14ac:dyDescent="0.25">
      <c r="A133">
        <f t="shared" ca="1" si="13"/>
        <v>97.341426693226438</v>
      </c>
      <c r="N133">
        <f t="shared" si="18"/>
        <v>0.5041666666666661</v>
      </c>
      <c r="O133" cm="1">
        <f t="array" aca="1" ref="O133" ca="1">mu*dt_1*R132</f>
        <v>3.3233899390242419E-2</v>
      </c>
      <c r="P133">
        <f t="shared" ca="1" si="14"/>
        <v>-2.3935053768910528</v>
      </c>
      <c r="Q133">
        <f t="shared" ca="1" si="19"/>
        <v>-2.3602714775008105</v>
      </c>
      <c r="R133">
        <f t="shared" ca="1" si="20"/>
        <v>97.341426693226438</v>
      </c>
      <c r="T133">
        <f t="shared" si="15"/>
        <v>0.5041666666666661</v>
      </c>
      <c r="U133">
        <f t="shared" ca="1" si="16"/>
        <v>3.3625764684655508E-2</v>
      </c>
      <c r="V133">
        <f t="shared" ca="1" si="17"/>
        <v>1.8788242727289985</v>
      </c>
      <c r="W133">
        <f t="shared" ca="1" si="21"/>
        <v>1.9124500374136542</v>
      </c>
      <c r="X133">
        <f t="shared" ca="1" si="22"/>
        <v>102.78974409138017</v>
      </c>
    </row>
    <row r="134" spans="1:24" x14ac:dyDescent="0.25">
      <c r="A134">
        <f t="shared" ca="1" si="13"/>
        <v>96.77883948296531</v>
      </c>
      <c r="N134">
        <f t="shared" si="18"/>
        <v>0.50833333333333275</v>
      </c>
      <c r="O134" cm="1">
        <f t="array" aca="1" ref="O134" ca="1">mu*dt_1*R133</f>
        <v>3.2447142231075476E-2</v>
      </c>
      <c r="P134">
        <f t="shared" ca="1" si="14"/>
        <v>-0.59503435249220393</v>
      </c>
      <c r="Q134">
        <f t="shared" ca="1" si="19"/>
        <v>-0.56258721026112846</v>
      </c>
      <c r="R134">
        <f t="shared" ca="1" si="20"/>
        <v>96.77883948296531</v>
      </c>
      <c r="T134">
        <f t="shared" si="15"/>
        <v>0.50833333333333275</v>
      </c>
      <c r="U134">
        <f t="shared" ca="1" si="16"/>
        <v>3.4263248030460061E-2</v>
      </c>
      <c r="V134">
        <f t="shared" ca="1" si="17"/>
        <v>1.4652065815874977</v>
      </c>
      <c r="W134">
        <f t="shared" ca="1" si="21"/>
        <v>1.4994698296179578</v>
      </c>
      <c r="X134">
        <f t="shared" ca="1" si="22"/>
        <v>104.28921392099812</v>
      </c>
    </row>
    <row r="135" spans="1:24" x14ac:dyDescent="0.25">
      <c r="A135">
        <f t="shared" ca="1" si="13"/>
        <v>99.397202232204194</v>
      </c>
      <c r="N135">
        <f t="shared" si="18"/>
        <v>0.5124999999999994</v>
      </c>
      <c r="O135" cm="1">
        <f t="array" aca="1" ref="O135" ca="1">mu*dt_1*R134</f>
        <v>3.2259613160988437E-2</v>
      </c>
      <c r="P135">
        <f t="shared" ca="1" si="14"/>
        <v>2.5861031360778943</v>
      </c>
      <c r="Q135">
        <f t="shared" ca="1" si="19"/>
        <v>2.6183627492388828</v>
      </c>
      <c r="R135">
        <f t="shared" ca="1" si="20"/>
        <v>99.397202232204194</v>
      </c>
      <c r="T135">
        <f t="shared" si="15"/>
        <v>0.5124999999999994</v>
      </c>
      <c r="U135">
        <f t="shared" ca="1" si="16"/>
        <v>3.4763071306999377E-2</v>
      </c>
      <c r="V135">
        <f t="shared" ca="1" si="17"/>
        <v>-0.45279283061152964</v>
      </c>
      <c r="W135">
        <f t="shared" ca="1" si="21"/>
        <v>-0.41802975930453024</v>
      </c>
      <c r="X135">
        <f t="shared" ca="1" si="22"/>
        <v>103.87118416169359</v>
      </c>
    </row>
    <row r="136" spans="1:24" x14ac:dyDescent="0.25">
      <c r="A136">
        <f t="shared" ca="1" si="13"/>
        <v>99.072123262803117</v>
      </c>
      <c r="N136">
        <f t="shared" si="18"/>
        <v>0.51666666666666605</v>
      </c>
      <c r="O136" cm="1">
        <f t="array" aca="1" ref="O136" ca="1">mu*dt_1*R135</f>
        <v>3.3132400744068063E-2</v>
      </c>
      <c r="P136">
        <f t="shared" ca="1" si="14"/>
        <v>-0.35821137014514598</v>
      </c>
      <c r="Q136">
        <f t="shared" ca="1" si="19"/>
        <v>-0.32507896940107794</v>
      </c>
      <c r="R136">
        <f t="shared" ca="1" si="20"/>
        <v>99.072123262803117</v>
      </c>
      <c r="T136">
        <f t="shared" si="15"/>
        <v>0.51666666666666605</v>
      </c>
      <c r="U136">
        <f t="shared" ca="1" si="16"/>
        <v>3.4623728053897865E-2</v>
      </c>
      <c r="V136">
        <f t="shared" ca="1" si="17"/>
        <v>-0.22268411282621806</v>
      </c>
      <c r="W136">
        <f t="shared" ca="1" si="21"/>
        <v>-0.18806038477232018</v>
      </c>
      <c r="X136">
        <f t="shared" ca="1" si="22"/>
        <v>103.68312377692128</v>
      </c>
    </row>
    <row r="137" spans="1:24" x14ac:dyDescent="0.25">
      <c r="A137">
        <f t="shared" ca="1" si="13"/>
        <v>96.978680427052225</v>
      </c>
      <c r="N137">
        <f t="shared" si="18"/>
        <v>0.5208333333333327</v>
      </c>
      <c r="O137" cm="1">
        <f t="array" aca="1" ref="O137" ca="1">mu*dt_1*R136</f>
        <v>3.3024041087601035E-2</v>
      </c>
      <c r="P137">
        <f t="shared" ca="1" si="14"/>
        <v>-2.1264668768384976</v>
      </c>
      <c r="Q137">
        <f t="shared" ca="1" si="19"/>
        <v>-2.0934428357508965</v>
      </c>
      <c r="R137">
        <f t="shared" ca="1" si="20"/>
        <v>96.978680427052225</v>
      </c>
      <c r="T137">
        <f t="shared" si="15"/>
        <v>0.5208333333333327</v>
      </c>
      <c r="U137">
        <f t="shared" ca="1" si="16"/>
        <v>3.456104125897376E-2</v>
      </c>
      <c r="V137">
        <f t="shared" ca="1" si="17"/>
        <v>-0.93215280013539514</v>
      </c>
      <c r="W137">
        <f t="shared" ca="1" si="21"/>
        <v>-0.8975917588764214</v>
      </c>
      <c r="X137">
        <f t="shared" ca="1" si="22"/>
        <v>102.78553201804486</v>
      </c>
    </row>
    <row r="138" spans="1:24" x14ac:dyDescent="0.25">
      <c r="A138">
        <f t="shared" ca="1" si="13"/>
        <v>96.742063661022044</v>
      </c>
      <c r="N138">
        <f t="shared" si="18"/>
        <v>0.52499999999999936</v>
      </c>
      <c r="O138" cm="1">
        <f t="array" aca="1" ref="O138" ca="1">mu*dt_1*R137</f>
        <v>3.2326226809017408E-2</v>
      </c>
      <c r="P138">
        <f t="shared" ca="1" si="14"/>
        <v>-0.26894299283920375</v>
      </c>
      <c r="Q138">
        <f t="shared" ca="1" si="19"/>
        <v>-0.23661676603018633</v>
      </c>
      <c r="R138">
        <f t="shared" ca="1" si="20"/>
        <v>96.742063661022044</v>
      </c>
      <c r="T138">
        <f t="shared" si="15"/>
        <v>0.52499999999999936</v>
      </c>
      <c r="U138">
        <f t="shared" ca="1" si="16"/>
        <v>3.4261844006014952E-2</v>
      </c>
      <c r="V138">
        <f t="shared" ca="1" si="17"/>
        <v>-0.94355691964690114</v>
      </c>
      <c r="W138">
        <f t="shared" ca="1" si="21"/>
        <v>-0.90929507564088619</v>
      </c>
      <c r="X138">
        <f t="shared" ca="1" si="22"/>
        <v>101.87623694240398</v>
      </c>
    </row>
    <row r="139" spans="1:24" x14ac:dyDescent="0.25">
      <c r="A139">
        <f t="shared" ca="1" si="13"/>
        <v>98.237728085355045</v>
      </c>
      <c r="N139">
        <f t="shared" si="18"/>
        <v>0.52916666666666601</v>
      </c>
      <c r="O139" cm="1">
        <f t="array" aca="1" ref="O139" ca="1">mu*dt_1*R138</f>
        <v>3.2247354553674015E-2</v>
      </c>
      <c r="P139">
        <f t="shared" ca="1" si="14"/>
        <v>1.4634170697793294</v>
      </c>
      <c r="Q139">
        <f t="shared" ca="1" si="19"/>
        <v>1.4956644243330035</v>
      </c>
      <c r="R139">
        <f t="shared" ca="1" si="20"/>
        <v>98.237728085355045</v>
      </c>
      <c r="T139">
        <f t="shared" si="15"/>
        <v>0.52916666666666601</v>
      </c>
      <c r="U139">
        <f t="shared" ca="1" si="16"/>
        <v>3.3958745647467994E-2</v>
      </c>
      <c r="V139">
        <f t="shared" ca="1" si="17"/>
        <v>-1.6400294064839795</v>
      </c>
      <c r="W139">
        <f t="shared" ca="1" si="21"/>
        <v>-1.6060706608365116</v>
      </c>
      <c r="X139">
        <f t="shared" ca="1" si="22"/>
        <v>100.27016628156747</v>
      </c>
    </row>
    <row r="140" spans="1:24" x14ac:dyDescent="0.25">
      <c r="A140">
        <f t="shared" ca="1" si="13"/>
        <v>98.952434830194278</v>
      </c>
      <c r="N140">
        <f t="shared" si="18"/>
        <v>0.53333333333333266</v>
      </c>
      <c r="O140" cm="1">
        <f t="array" aca="1" ref="O140" ca="1">mu*dt_1*R139</f>
        <v>3.2745909361785015E-2</v>
      </c>
      <c r="P140">
        <f t="shared" ca="1" si="14"/>
        <v>1.8584219627240746</v>
      </c>
      <c r="Q140">
        <f t="shared" ca="1" si="19"/>
        <v>1.8911678720858596</v>
      </c>
      <c r="R140">
        <f t="shared" ca="1" si="20"/>
        <v>100.1288959574409</v>
      </c>
      <c r="T140">
        <f t="shared" si="15"/>
        <v>0.53333333333333266</v>
      </c>
      <c r="U140">
        <f t="shared" ca="1" si="16"/>
        <v>3.3423388760522491E-2</v>
      </c>
      <c r="V140">
        <f t="shared" ca="1" si="17"/>
        <v>-1.3511548401337117</v>
      </c>
      <c r="W140">
        <f t="shared" ca="1" si="21"/>
        <v>-1.3177314513731893</v>
      </c>
      <c r="X140">
        <f t="shared" ca="1" si="22"/>
        <v>98.952434830194278</v>
      </c>
    </row>
    <row r="141" spans="1:24" x14ac:dyDescent="0.25">
      <c r="A141">
        <f t="shared" ref="A141:A204" ca="1" si="23">MIN(R141,X141)</f>
        <v>97.997712139250638</v>
      </c>
      <c r="N141">
        <f t="shared" si="18"/>
        <v>0.53749999999999931</v>
      </c>
      <c r="O141" cm="1">
        <f t="array" aca="1" ref="O141" ca="1">mu*dt_1*R140</f>
        <v>3.3376298652480298E-2</v>
      </c>
      <c r="P141">
        <f t="shared" ref="P141:P204" ca="1" si="24">_xlfn.NORM.INV(RAND(),0,1)*SQRT(dt_1)*sigma1*R140</f>
        <v>2.0795432802613703</v>
      </c>
      <c r="Q141">
        <f t="shared" ca="1" si="19"/>
        <v>2.1129195789138504</v>
      </c>
      <c r="R141">
        <f t="shared" ca="1" si="20"/>
        <v>102.24181553635475</v>
      </c>
      <c r="T141">
        <f t="shared" ref="T141:T204" si="25">T140+dt_2</f>
        <v>0.53749999999999931</v>
      </c>
      <c r="U141">
        <f t="shared" ref="U141:U204" ca="1" si="26">mu_2*X140*dt_2</f>
        <v>3.2984144943398096E-2</v>
      </c>
      <c r="V141">
        <f t="shared" ref="V141:V204" ca="1" si="27">(rho*P141/sigma1/R140+SQRT(1-rho^2)*_xlfn.NORM.INV(RAND(),0,1)*SQRT(dt_2))*sigma2*X140</f>
        <v>-0.98770683588703223</v>
      </c>
      <c r="W141">
        <f t="shared" ca="1" si="21"/>
        <v>-0.95472269094363416</v>
      </c>
      <c r="X141">
        <f t="shared" ca="1" si="22"/>
        <v>97.997712139250638</v>
      </c>
    </row>
    <row r="142" spans="1:24" x14ac:dyDescent="0.25">
      <c r="A142">
        <f t="shared" ca="1" si="23"/>
        <v>96.642560249756713</v>
      </c>
      <c r="N142">
        <f t="shared" ref="N142:N205" si="28">N141+$C$8</f>
        <v>0.54166666666666596</v>
      </c>
      <c r="O142" cm="1">
        <f t="array" aca="1" ref="O142" ca="1">mu*dt_1*R141</f>
        <v>3.4080605178784917E-2</v>
      </c>
      <c r="P142">
        <f t="shared" ca="1" si="24"/>
        <v>-1.1617080058936333</v>
      </c>
      <c r="Q142">
        <f t="shared" ref="Q142:Q205" ca="1" si="29">O142+P142</f>
        <v>-1.1276274007148483</v>
      </c>
      <c r="R142">
        <f t="shared" ref="R142:R205" ca="1" si="30">R141+Q142</f>
        <v>101.11418813563991</v>
      </c>
      <c r="T142">
        <f t="shared" si="25"/>
        <v>0.54166666666666596</v>
      </c>
      <c r="U142">
        <f t="shared" ca="1" si="26"/>
        <v>3.266590404641688E-2</v>
      </c>
      <c r="V142">
        <f t="shared" ca="1" si="27"/>
        <v>-1.3878177935403373</v>
      </c>
      <c r="W142">
        <f t="shared" ref="W142:W205" ca="1" si="31">U142+V142</f>
        <v>-1.3551518894939205</v>
      </c>
      <c r="X142">
        <f t="shared" ref="X142:X205" ca="1" si="32">X141+W142</f>
        <v>96.642560249756713</v>
      </c>
    </row>
    <row r="143" spans="1:24" x14ac:dyDescent="0.25">
      <c r="A143">
        <f t="shared" ca="1" si="23"/>
        <v>96.077598688987067</v>
      </c>
      <c r="N143">
        <f t="shared" si="28"/>
        <v>0.54583333333333262</v>
      </c>
      <c r="O143" cm="1">
        <f t="array" aca="1" ref="O143" ca="1">mu*dt_1*R142</f>
        <v>3.3704729378546634E-2</v>
      </c>
      <c r="P143">
        <f t="shared" ca="1" si="24"/>
        <v>-1.04004448963454</v>
      </c>
      <c r="Q143">
        <f t="shared" ca="1" si="29"/>
        <v>-1.0063397602559934</v>
      </c>
      <c r="R143">
        <f t="shared" ca="1" si="30"/>
        <v>100.10784837538391</v>
      </c>
      <c r="T143">
        <f t="shared" si="25"/>
        <v>0.54583333333333262</v>
      </c>
      <c r="U143">
        <f t="shared" ca="1" si="26"/>
        <v>3.2214186749918904E-2</v>
      </c>
      <c r="V143">
        <f t="shared" ca="1" si="27"/>
        <v>-0.59717574751955838</v>
      </c>
      <c r="W143">
        <f t="shared" ca="1" si="31"/>
        <v>-0.56496156076963944</v>
      </c>
      <c r="X143">
        <f t="shared" ca="1" si="32"/>
        <v>96.077598688987067</v>
      </c>
    </row>
    <row r="144" spans="1:24" x14ac:dyDescent="0.25">
      <c r="A144">
        <f t="shared" ca="1" si="23"/>
        <v>95.972776395350436</v>
      </c>
      <c r="N144">
        <f t="shared" si="28"/>
        <v>0.54999999999999927</v>
      </c>
      <c r="O144" cm="1">
        <f t="array" aca="1" ref="O144" ca="1">mu*dt_1*R143</f>
        <v>3.3369282791794637E-2</v>
      </c>
      <c r="P144">
        <f t="shared" ca="1" si="24"/>
        <v>1.6610206151953639</v>
      </c>
      <c r="Q144">
        <f t="shared" ca="1" si="29"/>
        <v>1.6943898979871586</v>
      </c>
      <c r="R144">
        <f t="shared" ca="1" si="30"/>
        <v>101.80223827337107</v>
      </c>
      <c r="T144">
        <f t="shared" si="25"/>
        <v>0.54999999999999927</v>
      </c>
      <c r="U144">
        <f t="shared" ca="1" si="26"/>
        <v>3.2025866229662352E-2</v>
      </c>
      <c r="V144">
        <f t="shared" ca="1" si="27"/>
        <v>-0.13684815986628843</v>
      </c>
      <c r="W144">
        <f t="shared" ca="1" si="31"/>
        <v>-0.10482229363662607</v>
      </c>
      <c r="X144">
        <f t="shared" ca="1" si="32"/>
        <v>95.972776395350436</v>
      </c>
    </row>
    <row r="145" spans="1:24" x14ac:dyDescent="0.25">
      <c r="A145">
        <f t="shared" ca="1" si="23"/>
        <v>99.360523863707471</v>
      </c>
      <c r="N145">
        <f t="shared" si="28"/>
        <v>0.55416666666666592</v>
      </c>
      <c r="O145" cm="1">
        <f t="array" aca="1" ref="O145" ca="1">mu*dt_1*R144</f>
        <v>3.3934079424457024E-2</v>
      </c>
      <c r="P145">
        <f t="shared" ca="1" si="24"/>
        <v>1.5351248591485103</v>
      </c>
      <c r="Q145">
        <f t="shared" ca="1" si="29"/>
        <v>1.5690589385729672</v>
      </c>
      <c r="R145">
        <f t="shared" ca="1" si="30"/>
        <v>103.37129721194404</v>
      </c>
      <c r="T145">
        <f t="shared" si="25"/>
        <v>0.55416666666666592</v>
      </c>
      <c r="U145">
        <f t="shared" ca="1" si="26"/>
        <v>3.199092546511681E-2</v>
      </c>
      <c r="V145">
        <f t="shared" ca="1" si="27"/>
        <v>3.3557565428919109</v>
      </c>
      <c r="W145">
        <f t="shared" ca="1" si="31"/>
        <v>3.3877474683570279</v>
      </c>
      <c r="X145">
        <f t="shared" ca="1" si="32"/>
        <v>99.360523863707471</v>
      </c>
    </row>
    <row r="146" spans="1:24" x14ac:dyDescent="0.25">
      <c r="A146">
        <f t="shared" ca="1" si="23"/>
        <v>99.841694522847916</v>
      </c>
      <c r="N146">
        <f t="shared" si="28"/>
        <v>0.55833333333333257</v>
      </c>
      <c r="O146" cm="1">
        <f t="array" aca="1" ref="O146" ca="1">mu*dt_1*R145</f>
        <v>3.4457099070648013E-2</v>
      </c>
      <c r="P146">
        <f t="shared" ca="1" si="24"/>
        <v>3.4192525225111584E-2</v>
      </c>
      <c r="Q146">
        <f t="shared" ca="1" si="29"/>
        <v>6.8649624295759604E-2</v>
      </c>
      <c r="R146">
        <f t="shared" ca="1" si="30"/>
        <v>103.4399468362398</v>
      </c>
      <c r="T146">
        <f t="shared" si="25"/>
        <v>0.55833333333333257</v>
      </c>
      <c r="U146">
        <f t="shared" ca="1" si="26"/>
        <v>3.3120174621235822E-2</v>
      </c>
      <c r="V146">
        <f t="shared" ca="1" si="27"/>
        <v>0.44805048451921081</v>
      </c>
      <c r="W146">
        <f t="shared" ca="1" si="31"/>
        <v>0.48117065914044665</v>
      </c>
      <c r="X146">
        <f t="shared" ca="1" si="32"/>
        <v>99.841694522847916</v>
      </c>
    </row>
    <row r="147" spans="1:24" x14ac:dyDescent="0.25">
      <c r="A147">
        <f t="shared" ca="1" si="23"/>
        <v>100.66203580573935</v>
      </c>
      <c r="N147">
        <f t="shared" si="28"/>
        <v>0.56249999999999922</v>
      </c>
      <c r="O147" cm="1">
        <f t="array" aca="1" ref="O147" ca="1">mu*dt_1*R146</f>
        <v>3.4479982278746601E-2</v>
      </c>
      <c r="P147">
        <f t="shared" ca="1" si="24"/>
        <v>0.48926101251145054</v>
      </c>
      <c r="Q147">
        <f t="shared" ca="1" si="29"/>
        <v>0.5237409947901972</v>
      </c>
      <c r="R147">
        <f t="shared" ca="1" si="30"/>
        <v>103.96368783103</v>
      </c>
      <c r="T147">
        <f t="shared" si="25"/>
        <v>0.56249999999999922</v>
      </c>
      <c r="U147">
        <f t="shared" ca="1" si="26"/>
        <v>3.3280564840949309E-2</v>
      </c>
      <c r="V147">
        <f t="shared" ca="1" si="27"/>
        <v>0.78706071805048761</v>
      </c>
      <c r="W147">
        <f t="shared" ca="1" si="31"/>
        <v>0.82034128289143693</v>
      </c>
      <c r="X147">
        <f t="shared" ca="1" si="32"/>
        <v>100.66203580573935</v>
      </c>
    </row>
    <row r="148" spans="1:24" x14ac:dyDescent="0.25">
      <c r="A148">
        <f t="shared" ca="1" si="23"/>
        <v>102.20146372024159</v>
      </c>
      <c r="N148">
        <f t="shared" si="28"/>
        <v>0.56666666666666587</v>
      </c>
      <c r="O148" cm="1">
        <f t="array" aca="1" ref="O148" ca="1">mu*dt_1*R147</f>
        <v>3.4654562610343331E-2</v>
      </c>
      <c r="P148">
        <f t="shared" ca="1" si="24"/>
        <v>7.6835826100874915E-2</v>
      </c>
      <c r="Q148">
        <f t="shared" ca="1" si="29"/>
        <v>0.11149038871121825</v>
      </c>
      <c r="R148">
        <f t="shared" ca="1" si="30"/>
        <v>104.07517821974122</v>
      </c>
      <c r="T148">
        <f t="shared" si="25"/>
        <v>0.56666666666666587</v>
      </c>
      <c r="U148">
        <f t="shared" ca="1" si="26"/>
        <v>3.3554011935246451E-2</v>
      </c>
      <c r="V148">
        <f t="shared" ca="1" si="27"/>
        <v>1.5058739025669918</v>
      </c>
      <c r="W148">
        <f t="shared" ca="1" si="31"/>
        <v>1.5394279145022383</v>
      </c>
      <c r="X148">
        <f t="shared" ca="1" si="32"/>
        <v>102.20146372024159</v>
      </c>
    </row>
    <row r="149" spans="1:24" x14ac:dyDescent="0.25">
      <c r="A149">
        <f t="shared" ca="1" si="23"/>
        <v>102.99518750643959</v>
      </c>
      <c r="N149">
        <f t="shared" si="28"/>
        <v>0.57083333333333253</v>
      </c>
      <c r="O149" cm="1">
        <f t="array" aca="1" ref="O149" ca="1">mu*dt_1*R148</f>
        <v>3.4691726073247074E-2</v>
      </c>
      <c r="P149">
        <f t="shared" ca="1" si="24"/>
        <v>-0.81189794920593339</v>
      </c>
      <c r="Q149">
        <f t="shared" ca="1" si="29"/>
        <v>-0.77720622313268628</v>
      </c>
      <c r="R149">
        <f t="shared" ca="1" si="30"/>
        <v>103.29797199660854</v>
      </c>
      <c r="T149">
        <f t="shared" si="25"/>
        <v>0.57083333333333253</v>
      </c>
      <c r="U149">
        <f t="shared" ca="1" si="26"/>
        <v>3.406715457341386E-2</v>
      </c>
      <c r="V149">
        <f t="shared" ca="1" si="27"/>
        <v>0.75965663162458075</v>
      </c>
      <c r="W149">
        <f t="shared" ca="1" si="31"/>
        <v>0.79372378619799466</v>
      </c>
      <c r="X149">
        <f t="shared" ca="1" si="32"/>
        <v>102.99518750643959</v>
      </c>
    </row>
    <row r="150" spans="1:24" x14ac:dyDescent="0.25">
      <c r="A150">
        <f t="shared" ca="1" si="23"/>
        <v>102.90894327974563</v>
      </c>
      <c r="N150">
        <f t="shared" si="28"/>
        <v>0.57499999999999918</v>
      </c>
      <c r="O150" cm="1">
        <f t="array" aca="1" ref="O150" ca="1">mu*dt_1*R149</f>
        <v>3.4432657332202847E-2</v>
      </c>
      <c r="P150">
        <f t="shared" ca="1" si="24"/>
        <v>2.371976308592902</v>
      </c>
      <c r="Q150">
        <f t="shared" ca="1" si="29"/>
        <v>2.4064089659251047</v>
      </c>
      <c r="R150">
        <f t="shared" ca="1" si="30"/>
        <v>105.70438096253365</v>
      </c>
      <c r="T150">
        <f t="shared" si="25"/>
        <v>0.57499999999999918</v>
      </c>
      <c r="U150">
        <f t="shared" ca="1" si="26"/>
        <v>3.4331729168813198E-2</v>
      </c>
      <c r="V150">
        <f t="shared" ca="1" si="27"/>
        <v>-0.12057595586277252</v>
      </c>
      <c r="W150">
        <f t="shared" ca="1" si="31"/>
        <v>-8.6244226693959314E-2</v>
      </c>
      <c r="X150">
        <f t="shared" ca="1" si="32"/>
        <v>102.90894327974563</v>
      </c>
    </row>
    <row r="151" spans="1:24" x14ac:dyDescent="0.25">
      <c r="A151">
        <f t="shared" ca="1" si="23"/>
        <v>105.21140289411804</v>
      </c>
      <c r="N151">
        <f t="shared" si="28"/>
        <v>0.57916666666666583</v>
      </c>
      <c r="O151" cm="1">
        <f t="array" aca="1" ref="O151" ca="1">mu*dt_1*R150</f>
        <v>3.5234793654177879E-2</v>
      </c>
      <c r="P151">
        <f t="shared" ca="1" si="24"/>
        <v>1.1246058785998374</v>
      </c>
      <c r="Q151">
        <f t="shared" ca="1" si="29"/>
        <v>1.1598406722540153</v>
      </c>
      <c r="R151">
        <f t="shared" ca="1" si="30"/>
        <v>106.86422163478767</v>
      </c>
      <c r="T151">
        <f t="shared" si="25"/>
        <v>0.57916666666666583</v>
      </c>
      <c r="U151">
        <f t="shared" ca="1" si="26"/>
        <v>3.4302981093248544E-2</v>
      </c>
      <c r="V151">
        <f t="shared" ca="1" si="27"/>
        <v>2.2681566332791623</v>
      </c>
      <c r="W151">
        <f t="shared" ca="1" si="31"/>
        <v>2.302459614372411</v>
      </c>
      <c r="X151">
        <f t="shared" ca="1" si="32"/>
        <v>105.21140289411804</v>
      </c>
    </row>
    <row r="152" spans="1:24" x14ac:dyDescent="0.25">
      <c r="A152">
        <f t="shared" ca="1" si="23"/>
        <v>105.15151005137368</v>
      </c>
      <c r="N152">
        <f t="shared" si="28"/>
        <v>0.58333333333333248</v>
      </c>
      <c r="O152" cm="1">
        <f t="array" aca="1" ref="O152" ca="1">mu*dt_1*R151</f>
        <v>3.5621407211595887E-2</v>
      </c>
      <c r="P152">
        <f t="shared" ca="1" si="24"/>
        <v>1.0930713701978585</v>
      </c>
      <c r="Q152">
        <f t="shared" ca="1" si="29"/>
        <v>1.1286927774094544</v>
      </c>
      <c r="R152">
        <f t="shared" ca="1" si="30"/>
        <v>107.99291441219712</v>
      </c>
      <c r="T152">
        <f t="shared" si="25"/>
        <v>0.58333333333333248</v>
      </c>
      <c r="U152">
        <f t="shared" ca="1" si="26"/>
        <v>3.5070467631372677E-2</v>
      </c>
      <c r="V152">
        <f t="shared" ca="1" si="27"/>
        <v>-9.4963310375736049E-2</v>
      </c>
      <c r="W152">
        <f t="shared" ca="1" si="31"/>
        <v>-5.9892842744363371E-2</v>
      </c>
      <c r="X152">
        <f t="shared" ca="1" si="32"/>
        <v>105.15151005137368</v>
      </c>
    </row>
    <row r="153" spans="1:24" x14ac:dyDescent="0.25">
      <c r="A153">
        <f t="shared" ca="1" si="23"/>
        <v>104.84308165600189</v>
      </c>
      <c r="N153">
        <f t="shared" si="28"/>
        <v>0.58749999999999913</v>
      </c>
      <c r="O153" cm="1">
        <f t="array" aca="1" ref="O153" ca="1">mu*dt_1*R152</f>
        <v>3.5997638137399042E-2</v>
      </c>
      <c r="P153">
        <f t="shared" ca="1" si="24"/>
        <v>0.7334676690819687</v>
      </c>
      <c r="Q153">
        <f t="shared" ca="1" si="29"/>
        <v>0.76946530721936779</v>
      </c>
      <c r="R153">
        <f t="shared" ca="1" si="30"/>
        <v>108.76237971941649</v>
      </c>
      <c r="T153">
        <f t="shared" si="25"/>
        <v>0.58749999999999913</v>
      </c>
      <c r="U153">
        <f t="shared" ca="1" si="26"/>
        <v>3.5050503350457896E-2</v>
      </c>
      <c r="V153">
        <f t="shared" ca="1" si="27"/>
        <v>-0.3434788987222458</v>
      </c>
      <c r="W153">
        <f t="shared" ca="1" si="31"/>
        <v>-0.3084283953717879</v>
      </c>
      <c r="X153">
        <f t="shared" ca="1" si="32"/>
        <v>104.84308165600189</v>
      </c>
    </row>
    <row r="154" spans="1:24" x14ac:dyDescent="0.25">
      <c r="A154">
        <f t="shared" ca="1" si="23"/>
        <v>104.25466993780087</v>
      </c>
      <c r="N154">
        <f t="shared" si="28"/>
        <v>0.59166666666666579</v>
      </c>
      <c r="O154" cm="1">
        <f t="array" aca="1" ref="O154" ca="1">mu*dt_1*R153</f>
        <v>3.6254126573138826E-2</v>
      </c>
      <c r="P154">
        <f t="shared" ca="1" si="24"/>
        <v>-1.2561154477865168</v>
      </c>
      <c r="Q154">
        <f t="shared" ca="1" si="29"/>
        <v>-1.219861321213378</v>
      </c>
      <c r="R154">
        <f t="shared" ca="1" si="30"/>
        <v>107.54251839820311</v>
      </c>
      <c r="T154">
        <f t="shared" si="25"/>
        <v>0.59166666666666579</v>
      </c>
      <c r="U154">
        <f t="shared" ca="1" si="26"/>
        <v>3.4947693885333961E-2</v>
      </c>
      <c r="V154">
        <f t="shared" ca="1" si="27"/>
        <v>-0.62335941208634638</v>
      </c>
      <c r="W154">
        <f t="shared" ca="1" si="31"/>
        <v>-0.58841171820101246</v>
      </c>
      <c r="X154">
        <f t="shared" ca="1" si="32"/>
        <v>104.25466993780087</v>
      </c>
    </row>
    <row r="155" spans="1:24" x14ac:dyDescent="0.25">
      <c r="A155">
        <f t="shared" ca="1" si="23"/>
        <v>102.83841664757813</v>
      </c>
      <c r="N155">
        <f t="shared" si="28"/>
        <v>0.59583333333333244</v>
      </c>
      <c r="O155" cm="1">
        <f t="array" aca="1" ref="O155" ca="1">mu*dt_1*R154</f>
        <v>3.5847506132734373E-2</v>
      </c>
      <c r="P155">
        <f t="shared" ca="1" si="24"/>
        <v>-1.2352485734931269</v>
      </c>
      <c r="Q155">
        <f t="shared" ca="1" si="29"/>
        <v>-1.1994010673603925</v>
      </c>
      <c r="R155">
        <f t="shared" ca="1" si="30"/>
        <v>106.34311733084272</v>
      </c>
      <c r="T155">
        <f t="shared" si="25"/>
        <v>0.59583333333333244</v>
      </c>
      <c r="U155">
        <f t="shared" ca="1" si="26"/>
        <v>3.4751556645933629E-2</v>
      </c>
      <c r="V155">
        <f t="shared" ca="1" si="27"/>
        <v>-1.4510048468686696</v>
      </c>
      <c r="W155">
        <f t="shared" ca="1" si="31"/>
        <v>-1.416253290222736</v>
      </c>
      <c r="X155">
        <f t="shared" ca="1" si="32"/>
        <v>102.83841664757813</v>
      </c>
    </row>
    <row r="156" spans="1:24" x14ac:dyDescent="0.25">
      <c r="A156">
        <f t="shared" ca="1" si="23"/>
        <v>101.26908419558994</v>
      </c>
      <c r="N156">
        <f t="shared" si="28"/>
        <v>0.59999999999999909</v>
      </c>
      <c r="O156" cm="1">
        <f t="array" aca="1" ref="O156" ca="1">mu*dt_1*R155</f>
        <v>3.5447705776947572E-2</v>
      </c>
      <c r="P156">
        <f t="shared" ca="1" si="24"/>
        <v>2.2561766179466232</v>
      </c>
      <c r="Q156">
        <f t="shared" ca="1" si="29"/>
        <v>2.2916243237235707</v>
      </c>
      <c r="R156">
        <f t="shared" ca="1" si="30"/>
        <v>108.63474165456628</v>
      </c>
      <c r="T156">
        <f t="shared" si="25"/>
        <v>0.59999999999999909</v>
      </c>
      <c r="U156">
        <f t="shared" ca="1" si="26"/>
        <v>3.4279472215859377E-2</v>
      </c>
      <c r="V156">
        <f t="shared" ca="1" si="27"/>
        <v>-1.6036119242040516</v>
      </c>
      <c r="W156">
        <f t="shared" ca="1" si="31"/>
        <v>-1.5693324519881922</v>
      </c>
      <c r="X156">
        <f t="shared" ca="1" si="32"/>
        <v>101.26908419558994</v>
      </c>
    </row>
    <row r="157" spans="1:24" x14ac:dyDescent="0.25">
      <c r="A157">
        <f t="shared" ca="1" si="23"/>
        <v>102.31584422492881</v>
      </c>
      <c r="N157">
        <f t="shared" si="28"/>
        <v>0.60416666666666574</v>
      </c>
      <c r="O157" cm="1">
        <f t="array" aca="1" ref="O157" ca="1">mu*dt_1*R156</f>
        <v>3.6211580551522092E-2</v>
      </c>
      <c r="P157">
        <f t="shared" ca="1" si="24"/>
        <v>0.57823257665061767</v>
      </c>
      <c r="Q157">
        <f t="shared" ca="1" si="29"/>
        <v>0.61444415720213974</v>
      </c>
      <c r="R157">
        <f t="shared" ca="1" si="30"/>
        <v>109.24918581176843</v>
      </c>
      <c r="T157">
        <f t="shared" si="25"/>
        <v>0.60416666666666574</v>
      </c>
      <c r="U157">
        <f t="shared" ca="1" si="26"/>
        <v>3.3756361398529978E-2</v>
      </c>
      <c r="V157">
        <f t="shared" ca="1" si="27"/>
        <v>1.0130036679403469</v>
      </c>
      <c r="W157">
        <f t="shared" ca="1" si="31"/>
        <v>1.0467600293388768</v>
      </c>
      <c r="X157">
        <f t="shared" ca="1" si="32"/>
        <v>102.31584422492881</v>
      </c>
    </row>
    <row r="158" spans="1:24" x14ac:dyDescent="0.25">
      <c r="A158">
        <f t="shared" ca="1" si="23"/>
        <v>102.19655935107586</v>
      </c>
      <c r="N158">
        <f t="shared" si="28"/>
        <v>0.60833333333333239</v>
      </c>
      <c r="O158" cm="1">
        <f t="array" aca="1" ref="O158" ca="1">mu*dt_1*R157</f>
        <v>3.6416395270589472E-2</v>
      </c>
      <c r="P158">
        <f t="shared" ca="1" si="24"/>
        <v>-1.1015536013137275</v>
      </c>
      <c r="Q158">
        <f t="shared" ca="1" si="29"/>
        <v>-1.0651372060431381</v>
      </c>
      <c r="R158">
        <f t="shared" ca="1" si="30"/>
        <v>108.18404860572529</v>
      </c>
      <c r="T158">
        <f t="shared" si="25"/>
        <v>0.60833333333333239</v>
      </c>
      <c r="U158">
        <f t="shared" ca="1" si="26"/>
        <v>3.4105281408309603E-2</v>
      </c>
      <c r="V158">
        <f t="shared" ca="1" si="27"/>
        <v>-0.15339015526125177</v>
      </c>
      <c r="W158">
        <f t="shared" ca="1" si="31"/>
        <v>-0.11928487385294217</v>
      </c>
      <c r="X158">
        <f t="shared" ca="1" si="32"/>
        <v>102.19655935107586</v>
      </c>
    </row>
    <row r="159" spans="1:24" x14ac:dyDescent="0.25">
      <c r="A159">
        <f t="shared" ca="1" si="23"/>
        <v>101.87934495017386</v>
      </c>
      <c r="N159">
        <f t="shared" si="28"/>
        <v>0.61249999999999905</v>
      </c>
      <c r="O159" cm="1">
        <f t="array" aca="1" ref="O159" ca="1">mu*dt_1*R158</f>
        <v>3.6061349535241767E-2</v>
      </c>
      <c r="P159">
        <f t="shared" ca="1" si="24"/>
        <v>0.99478831198592443</v>
      </c>
      <c r="Q159">
        <f t="shared" ca="1" si="29"/>
        <v>1.0308496615211662</v>
      </c>
      <c r="R159">
        <f t="shared" ca="1" si="30"/>
        <v>109.21489826724645</v>
      </c>
      <c r="T159">
        <f t="shared" si="25"/>
        <v>0.61249999999999905</v>
      </c>
      <c r="U159">
        <f t="shared" ca="1" si="26"/>
        <v>3.4065519783691954E-2</v>
      </c>
      <c r="V159">
        <f t="shared" ca="1" si="27"/>
        <v>-0.35127992068570058</v>
      </c>
      <c r="W159">
        <f t="shared" ca="1" si="31"/>
        <v>-0.31721440090200864</v>
      </c>
      <c r="X159">
        <f t="shared" ca="1" si="32"/>
        <v>101.87934495017386</v>
      </c>
    </row>
    <row r="160" spans="1:24" x14ac:dyDescent="0.25">
      <c r="A160">
        <f t="shared" ca="1" si="23"/>
        <v>104.07296035591041</v>
      </c>
      <c r="N160">
        <f t="shared" si="28"/>
        <v>0.6166666666666657</v>
      </c>
      <c r="O160" cm="1">
        <f t="array" aca="1" ref="O160" ca="1">mu*dt_1*R159</f>
        <v>3.6404966089082148E-2</v>
      </c>
      <c r="P160">
        <f t="shared" ca="1" si="24"/>
        <v>-1.316335067107131</v>
      </c>
      <c r="Q160">
        <f t="shared" ca="1" si="29"/>
        <v>-1.2799301010180488</v>
      </c>
      <c r="R160">
        <f t="shared" ca="1" si="30"/>
        <v>107.9349681662284</v>
      </c>
      <c r="T160">
        <f t="shared" si="25"/>
        <v>0.6166666666666657</v>
      </c>
      <c r="U160">
        <f t="shared" ca="1" si="26"/>
        <v>3.3959781650057953E-2</v>
      </c>
      <c r="V160">
        <f t="shared" ca="1" si="27"/>
        <v>2.1596556240864957</v>
      </c>
      <c r="W160">
        <f t="shared" ca="1" si="31"/>
        <v>2.1936154057365536</v>
      </c>
      <c r="X160">
        <f t="shared" ca="1" si="32"/>
        <v>104.07296035591041</v>
      </c>
    </row>
    <row r="161" spans="1:24" x14ac:dyDescent="0.25">
      <c r="A161">
        <f t="shared" ca="1" si="23"/>
        <v>102.43655937506242</v>
      </c>
      <c r="N161">
        <f t="shared" si="28"/>
        <v>0.62083333333333235</v>
      </c>
      <c r="O161" cm="1">
        <f t="array" aca="1" ref="O161" ca="1">mu*dt_1*R160</f>
        <v>3.5978322722076135E-2</v>
      </c>
      <c r="P161">
        <f t="shared" ca="1" si="24"/>
        <v>0.33112536850199475</v>
      </c>
      <c r="Q161">
        <f t="shared" ca="1" si="29"/>
        <v>0.36710369122407088</v>
      </c>
      <c r="R161">
        <f t="shared" ca="1" si="30"/>
        <v>108.30207185745248</v>
      </c>
      <c r="T161">
        <f t="shared" si="25"/>
        <v>0.62083333333333235</v>
      </c>
      <c r="U161">
        <f t="shared" ca="1" si="26"/>
        <v>3.4690986785303468E-2</v>
      </c>
      <c r="V161">
        <f t="shared" ca="1" si="27"/>
        <v>-1.671091967633296</v>
      </c>
      <c r="W161">
        <f t="shared" ca="1" si="31"/>
        <v>-1.6364009808479927</v>
      </c>
      <c r="X161">
        <f t="shared" ca="1" si="32"/>
        <v>102.43655937506242</v>
      </c>
    </row>
    <row r="162" spans="1:24" x14ac:dyDescent="0.25">
      <c r="A162">
        <f t="shared" ca="1" si="23"/>
        <v>102.39163568949058</v>
      </c>
      <c r="N162">
        <f t="shared" si="28"/>
        <v>0.624999999999999</v>
      </c>
      <c r="O162" cm="1">
        <f t="array" aca="1" ref="O162" ca="1">mu*dt_1*R161</f>
        <v>3.6100690619150826E-2</v>
      </c>
      <c r="P162">
        <f t="shared" ca="1" si="24"/>
        <v>2.7017965307833731</v>
      </c>
      <c r="Q162">
        <f t="shared" ca="1" si="29"/>
        <v>2.7378972214025241</v>
      </c>
      <c r="R162">
        <f t="shared" ca="1" si="30"/>
        <v>111.03996907885499</v>
      </c>
      <c r="T162">
        <f t="shared" si="25"/>
        <v>0.624999999999999</v>
      </c>
      <c r="U162">
        <f t="shared" ca="1" si="26"/>
        <v>3.4145519791687472E-2</v>
      </c>
      <c r="V162">
        <f t="shared" ca="1" si="27"/>
        <v>-7.9069205363525658E-2</v>
      </c>
      <c r="W162">
        <f t="shared" ca="1" si="31"/>
        <v>-4.4923685571838186E-2</v>
      </c>
      <c r="X162">
        <f t="shared" ca="1" si="32"/>
        <v>102.39163568949058</v>
      </c>
    </row>
    <row r="163" spans="1:24" x14ac:dyDescent="0.25">
      <c r="A163">
        <f t="shared" ca="1" si="23"/>
        <v>101.79873247374563</v>
      </c>
      <c r="N163">
        <f t="shared" si="28"/>
        <v>0.62916666666666565</v>
      </c>
      <c r="O163" cm="1">
        <f t="array" aca="1" ref="O163" ca="1">mu*dt_1*R162</f>
        <v>3.7013323026284996E-2</v>
      </c>
      <c r="P163">
        <f t="shared" ca="1" si="24"/>
        <v>-0.7899105824345849</v>
      </c>
      <c r="Q163">
        <f t="shared" ca="1" si="29"/>
        <v>-0.75289725940829988</v>
      </c>
      <c r="R163">
        <f t="shared" ca="1" si="30"/>
        <v>110.28707181944669</v>
      </c>
      <c r="T163">
        <f t="shared" si="25"/>
        <v>0.62916666666666565</v>
      </c>
      <c r="U163">
        <f t="shared" ca="1" si="26"/>
        <v>3.4130545229830195E-2</v>
      </c>
      <c r="V163">
        <f t="shared" ca="1" si="27"/>
        <v>-0.62703376097478436</v>
      </c>
      <c r="W163">
        <f t="shared" ca="1" si="31"/>
        <v>-0.59290321574495419</v>
      </c>
      <c r="X163">
        <f t="shared" ca="1" si="32"/>
        <v>101.79873247374563</v>
      </c>
    </row>
    <row r="164" spans="1:24" x14ac:dyDescent="0.25">
      <c r="A164">
        <f t="shared" ca="1" si="23"/>
        <v>100.72153486026026</v>
      </c>
      <c r="N164">
        <f t="shared" si="28"/>
        <v>0.6333333333333323</v>
      </c>
      <c r="O164" cm="1">
        <f t="array" aca="1" ref="O164" ca="1">mu*dt_1*R163</f>
        <v>3.6762357273148895E-2</v>
      </c>
      <c r="P164">
        <f t="shared" ca="1" si="24"/>
        <v>1.1556755463614399</v>
      </c>
      <c r="Q164">
        <f t="shared" ca="1" si="29"/>
        <v>1.1924379036345887</v>
      </c>
      <c r="R164">
        <f t="shared" ca="1" si="30"/>
        <v>111.47950972308128</v>
      </c>
      <c r="T164">
        <f t="shared" si="25"/>
        <v>0.6333333333333323</v>
      </c>
      <c r="U164">
        <f t="shared" ca="1" si="26"/>
        <v>3.3932910824581872E-2</v>
      </c>
      <c r="V164">
        <f t="shared" ca="1" si="27"/>
        <v>-1.1111305243099499</v>
      </c>
      <c r="W164">
        <f t="shared" ca="1" si="31"/>
        <v>-1.077197613485368</v>
      </c>
      <c r="X164">
        <f t="shared" ca="1" si="32"/>
        <v>100.72153486026026</v>
      </c>
    </row>
    <row r="165" spans="1:24" x14ac:dyDescent="0.25">
      <c r="A165">
        <f t="shared" ca="1" si="23"/>
        <v>100.81900753176198</v>
      </c>
      <c r="N165">
        <f t="shared" si="28"/>
        <v>0.63749999999999896</v>
      </c>
      <c r="O165" cm="1">
        <f t="array" aca="1" ref="O165" ca="1">mu*dt_1*R164</f>
        <v>3.7159836574360422E-2</v>
      </c>
      <c r="P165">
        <f t="shared" ca="1" si="24"/>
        <v>-1.4662592130361012</v>
      </c>
      <c r="Q165">
        <f t="shared" ca="1" si="29"/>
        <v>-1.4290993764617408</v>
      </c>
      <c r="R165">
        <f t="shared" ca="1" si="30"/>
        <v>110.05041034661954</v>
      </c>
      <c r="T165">
        <f t="shared" si="25"/>
        <v>0.63749999999999896</v>
      </c>
      <c r="U165">
        <f t="shared" ca="1" si="26"/>
        <v>3.3573844953420091E-2</v>
      </c>
      <c r="V165">
        <f t="shared" ca="1" si="27"/>
        <v>6.3898826548305976E-2</v>
      </c>
      <c r="W165">
        <f t="shared" ca="1" si="31"/>
        <v>9.747267150172606E-2</v>
      </c>
      <c r="X165">
        <f t="shared" ca="1" si="32"/>
        <v>100.81900753176198</v>
      </c>
    </row>
    <row r="166" spans="1:24" x14ac:dyDescent="0.25">
      <c r="A166">
        <f t="shared" ca="1" si="23"/>
        <v>101.44100548479298</v>
      </c>
      <c r="N166">
        <f t="shared" si="28"/>
        <v>0.64166666666666561</v>
      </c>
      <c r="O166" cm="1">
        <f t="array" aca="1" ref="O166" ca="1">mu*dt_1*R165</f>
        <v>3.6683470115539844E-2</v>
      </c>
      <c r="P166">
        <f t="shared" ca="1" si="24"/>
        <v>1.0430213721300574</v>
      </c>
      <c r="Q166">
        <f t="shared" ca="1" si="29"/>
        <v>1.0797048422455973</v>
      </c>
      <c r="R166">
        <f t="shared" ca="1" si="30"/>
        <v>111.13011518886515</v>
      </c>
      <c r="T166">
        <f t="shared" si="25"/>
        <v>0.64166666666666561</v>
      </c>
      <c r="U166">
        <f t="shared" ca="1" si="26"/>
        <v>3.3606335843920664E-2</v>
      </c>
      <c r="V166">
        <f t="shared" ca="1" si="27"/>
        <v>0.58839161718707955</v>
      </c>
      <c r="W166">
        <f t="shared" ca="1" si="31"/>
        <v>0.62199795303100025</v>
      </c>
      <c r="X166">
        <f t="shared" ca="1" si="32"/>
        <v>101.44100548479298</v>
      </c>
    </row>
    <row r="167" spans="1:24" x14ac:dyDescent="0.25">
      <c r="A167">
        <f t="shared" ca="1" si="23"/>
        <v>103.24056824408039</v>
      </c>
      <c r="N167">
        <f t="shared" si="28"/>
        <v>0.64583333333333226</v>
      </c>
      <c r="O167" cm="1">
        <f t="array" aca="1" ref="O167" ca="1">mu*dt_1*R166</f>
        <v>3.7043371729621716E-2</v>
      </c>
      <c r="P167">
        <f t="shared" ca="1" si="24"/>
        <v>0.84917635367991506</v>
      </c>
      <c r="Q167">
        <f t="shared" ca="1" si="29"/>
        <v>0.88621972540953675</v>
      </c>
      <c r="R167">
        <f t="shared" ca="1" si="30"/>
        <v>112.01633491427468</v>
      </c>
      <c r="T167">
        <f t="shared" si="25"/>
        <v>0.64583333333333226</v>
      </c>
      <c r="U167">
        <f t="shared" ca="1" si="26"/>
        <v>3.381366849493099E-2</v>
      </c>
      <c r="V167">
        <f t="shared" ca="1" si="27"/>
        <v>1.7657490907924742</v>
      </c>
      <c r="W167">
        <f t="shared" ca="1" si="31"/>
        <v>1.7995627592874053</v>
      </c>
      <c r="X167">
        <f t="shared" ca="1" si="32"/>
        <v>103.24056824408039</v>
      </c>
    </row>
    <row r="168" spans="1:24" x14ac:dyDescent="0.25">
      <c r="A168">
        <f t="shared" ca="1" si="23"/>
        <v>104.00380047389056</v>
      </c>
      <c r="N168">
        <f t="shared" si="28"/>
        <v>0.64999999999999891</v>
      </c>
      <c r="O168" cm="1">
        <f t="array" aca="1" ref="O168" ca="1">mu*dt_1*R167</f>
        <v>3.7338778304758229E-2</v>
      </c>
      <c r="P168">
        <f t="shared" ca="1" si="24"/>
        <v>-1.1788402549600128</v>
      </c>
      <c r="Q168">
        <f t="shared" ca="1" si="29"/>
        <v>-1.1415014766552545</v>
      </c>
      <c r="R168">
        <f t="shared" ca="1" si="30"/>
        <v>110.87483343761943</v>
      </c>
      <c r="T168">
        <f t="shared" si="25"/>
        <v>0.64999999999999891</v>
      </c>
      <c r="U168">
        <f t="shared" ca="1" si="26"/>
        <v>3.4413522748026795E-2</v>
      </c>
      <c r="V168">
        <f t="shared" ca="1" si="27"/>
        <v>0.7288187070621458</v>
      </c>
      <c r="W168">
        <f t="shared" ca="1" si="31"/>
        <v>0.76323222981017258</v>
      </c>
      <c r="X168">
        <f t="shared" ca="1" si="32"/>
        <v>104.00380047389056</v>
      </c>
    </row>
    <row r="169" spans="1:24" x14ac:dyDescent="0.25">
      <c r="A169">
        <f t="shared" ca="1" si="23"/>
        <v>100.02079967446501</v>
      </c>
      <c r="N169">
        <f t="shared" si="28"/>
        <v>0.65416666666666556</v>
      </c>
      <c r="O169" cm="1">
        <f t="array" aca="1" ref="O169" ca="1">mu*dt_1*R168</f>
        <v>3.6958277812539811E-2</v>
      </c>
      <c r="P169">
        <f t="shared" ca="1" si="24"/>
        <v>-1.9912967047595282</v>
      </c>
      <c r="Q169">
        <f t="shared" ca="1" si="29"/>
        <v>-1.9543384269469883</v>
      </c>
      <c r="R169">
        <f t="shared" ca="1" si="30"/>
        <v>108.92049501067244</v>
      </c>
      <c r="T169">
        <f t="shared" si="25"/>
        <v>0.65416666666666556</v>
      </c>
      <c r="U169">
        <f t="shared" ca="1" si="26"/>
        <v>3.4667933491296855E-2</v>
      </c>
      <c r="V169">
        <f t="shared" ca="1" si="27"/>
        <v>-4.017668732916845</v>
      </c>
      <c r="W169">
        <f t="shared" ca="1" si="31"/>
        <v>-3.9830007994255481</v>
      </c>
      <c r="X169">
        <f t="shared" ca="1" si="32"/>
        <v>100.02079967446501</v>
      </c>
    </row>
    <row r="170" spans="1:24" x14ac:dyDescent="0.25">
      <c r="A170">
        <f t="shared" ca="1" si="23"/>
        <v>100.50073544201706</v>
      </c>
      <c r="N170">
        <f t="shared" si="28"/>
        <v>0.65833333333333222</v>
      </c>
      <c r="O170" cm="1">
        <f t="array" aca="1" ref="O170" ca="1">mu*dt_1*R169</f>
        <v>3.6306831670224145E-2</v>
      </c>
      <c r="P170">
        <f t="shared" ca="1" si="24"/>
        <v>-2.6259870236420721</v>
      </c>
      <c r="Q170">
        <f t="shared" ca="1" si="29"/>
        <v>-2.5896801919718482</v>
      </c>
      <c r="R170">
        <f t="shared" ca="1" si="30"/>
        <v>106.33081481870059</v>
      </c>
      <c r="T170">
        <f t="shared" si="25"/>
        <v>0.65833333333333222</v>
      </c>
      <c r="U170">
        <f t="shared" ca="1" si="26"/>
        <v>3.3340266558155009E-2</v>
      </c>
      <c r="V170">
        <f t="shared" ca="1" si="27"/>
        <v>0.44659550099390133</v>
      </c>
      <c r="W170">
        <f t="shared" ca="1" si="31"/>
        <v>0.47993576755205636</v>
      </c>
      <c r="X170">
        <f t="shared" ca="1" si="32"/>
        <v>100.50073544201706</v>
      </c>
    </row>
    <row r="171" spans="1:24" x14ac:dyDescent="0.25">
      <c r="A171">
        <f t="shared" ca="1" si="23"/>
        <v>98.766700315971718</v>
      </c>
      <c r="N171">
        <f t="shared" si="28"/>
        <v>0.66249999999999887</v>
      </c>
      <c r="O171" cm="1">
        <f t="array" aca="1" ref="O171" ca="1">mu*dt_1*R170</f>
        <v>3.5443604939566858E-2</v>
      </c>
      <c r="P171">
        <f t="shared" ca="1" si="24"/>
        <v>-0.73987919562105076</v>
      </c>
      <c r="Q171">
        <f t="shared" ca="1" si="29"/>
        <v>-0.70443559068148387</v>
      </c>
      <c r="R171">
        <f t="shared" ca="1" si="30"/>
        <v>105.6263792280191</v>
      </c>
      <c r="T171">
        <f t="shared" si="25"/>
        <v>0.66249999999999887</v>
      </c>
      <c r="U171">
        <f t="shared" ca="1" si="26"/>
        <v>3.3500245147339014E-2</v>
      </c>
      <c r="V171">
        <f t="shared" ca="1" si="27"/>
        <v>-1.7675353711926758</v>
      </c>
      <c r="W171">
        <f t="shared" ca="1" si="31"/>
        <v>-1.7340351260453368</v>
      </c>
      <c r="X171">
        <f t="shared" ca="1" si="32"/>
        <v>98.766700315971718</v>
      </c>
    </row>
    <row r="172" spans="1:24" x14ac:dyDescent="0.25">
      <c r="A172">
        <f t="shared" ca="1" si="23"/>
        <v>97.682420299453668</v>
      </c>
      <c r="N172">
        <f t="shared" si="28"/>
        <v>0.66666666666666552</v>
      </c>
      <c r="O172" cm="1">
        <f t="array" aca="1" ref="O172" ca="1">mu*dt_1*R171</f>
        <v>3.520879307600637E-2</v>
      </c>
      <c r="P172">
        <f t="shared" ca="1" si="24"/>
        <v>-0.8473214307349477</v>
      </c>
      <c r="Q172">
        <f t="shared" ca="1" si="29"/>
        <v>-0.81211263765894137</v>
      </c>
      <c r="R172">
        <f t="shared" ca="1" si="30"/>
        <v>104.81426659036016</v>
      </c>
      <c r="T172">
        <f t="shared" si="25"/>
        <v>0.66666666666666552</v>
      </c>
      <c r="U172">
        <f t="shared" ca="1" si="26"/>
        <v>3.2922233438657238E-2</v>
      </c>
      <c r="V172">
        <f t="shared" ca="1" si="27"/>
        <v>-1.1172022499567051</v>
      </c>
      <c r="W172">
        <f t="shared" ca="1" si="31"/>
        <v>-1.084280016518048</v>
      </c>
      <c r="X172">
        <f t="shared" ca="1" si="32"/>
        <v>97.682420299453668</v>
      </c>
    </row>
    <row r="173" spans="1:24" x14ac:dyDescent="0.25">
      <c r="A173">
        <f t="shared" ca="1" si="23"/>
        <v>97.002149235360733</v>
      </c>
      <c r="N173">
        <f t="shared" si="28"/>
        <v>0.67083333333333217</v>
      </c>
      <c r="O173" cm="1">
        <f t="array" aca="1" ref="O173" ca="1">mu*dt_1*R172</f>
        <v>3.4938088863453384E-2</v>
      </c>
      <c r="P173">
        <f t="shared" ca="1" si="24"/>
        <v>0.51452504213013628</v>
      </c>
      <c r="Q173">
        <f t="shared" ca="1" si="29"/>
        <v>0.54946313099358968</v>
      </c>
      <c r="R173">
        <f t="shared" ca="1" si="30"/>
        <v>105.36372972135375</v>
      </c>
      <c r="T173">
        <f t="shared" si="25"/>
        <v>0.67083333333333217</v>
      </c>
      <c r="U173">
        <f t="shared" ca="1" si="26"/>
        <v>3.2560806766484554E-2</v>
      </c>
      <c r="V173">
        <f t="shared" ca="1" si="27"/>
        <v>-0.71283187085941957</v>
      </c>
      <c r="W173">
        <f t="shared" ca="1" si="31"/>
        <v>-0.68027106409293503</v>
      </c>
      <c r="X173">
        <f t="shared" ca="1" si="32"/>
        <v>97.002149235360733</v>
      </c>
    </row>
    <row r="174" spans="1:24" x14ac:dyDescent="0.25">
      <c r="A174">
        <f t="shared" ca="1" si="23"/>
        <v>96.129625020144388</v>
      </c>
      <c r="N174">
        <f t="shared" si="28"/>
        <v>0.67499999999999882</v>
      </c>
      <c r="O174" cm="1">
        <f t="array" aca="1" ref="O174" ca="1">mu*dt_1*R173</f>
        <v>3.5121243240451246E-2</v>
      </c>
      <c r="P174">
        <f t="shared" ca="1" si="24"/>
        <v>-0.45627808821585059</v>
      </c>
      <c r="Q174">
        <f t="shared" ca="1" si="29"/>
        <v>-0.42115684497539935</v>
      </c>
      <c r="R174">
        <f t="shared" ca="1" si="30"/>
        <v>104.94257287637835</v>
      </c>
      <c r="T174">
        <f t="shared" si="25"/>
        <v>0.67499999999999882</v>
      </c>
      <c r="U174">
        <f t="shared" ca="1" si="26"/>
        <v>3.2334049745120247E-2</v>
      </c>
      <c r="V174">
        <f t="shared" ca="1" si="27"/>
        <v>-0.90485826496146526</v>
      </c>
      <c r="W174">
        <f t="shared" ca="1" si="31"/>
        <v>-0.87252421521634504</v>
      </c>
      <c r="X174">
        <f t="shared" ca="1" si="32"/>
        <v>96.129625020144388</v>
      </c>
    </row>
    <row r="175" spans="1:24" x14ac:dyDescent="0.25">
      <c r="A175">
        <f t="shared" ca="1" si="23"/>
        <v>98.002165663569826</v>
      </c>
      <c r="N175">
        <f t="shared" si="28"/>
        <v>0.67916666666666548</v>
      </c>
      <c r="O175" cm="1">
        <f t="array" aca="1" ref="O175" ca="1">mu*dt_1*R174</f>
        <v>3.4980857625459445E-2</v>
      </c>
      <c r="P175">
        <f t="shared" ca="1" si="24"/>
        <v>0.75478692319434859</v>
      </c>
      <c r="Q175">
        <f t="shared" ca="1" si="29"/>
        <v>0.78976778081980803</v>
      </c>
      <c r="R175">
        <f t="shared" ca="1" si="30"/>
        <v>105.73234065719815</v>
      </c>
      <c r="T175">
        <f t="shared" si="25"/>
        <v>0.67916666666666548</v>
      </c>
      <c r="U175">
        <f t="shared" ca="1" si="26"/>
        <v>3.2043208340048132E-2</v>
      </c>
      <c r="V175">
        <f t="shared" ca="1" si="27"/>
        <v>1.8404974350853924</v>
      </c>
      <c r="W175">
        <f t="shared" ca="1" si="31"/>
        <v>1.8725406434254406</v>
      </c>
      <c r="X175">
        <f t="shared" ca="1" si="32"/>
        <v>98.002165663569826</v>
      </c>
    </row>
    <row r="176" spans="1:24" x14ac:dyDescent="0.25">
      <c r="A176">
        <f t="shared" ca="1" si="23"/>
        <v>99.498297181478364</v>
      </c>
      <c r="N176">
        <f t="shared" si="28"/>
        <v>0.68333333333333213</v>
      </c>
      <c r="O176" cm="1">
        <f t="array" aca="1" ref="O176" ca="1">mu*dt_1*R175</f>
        <v>3.5244113552399384E-2</v>
      </c>
      <c r="P176">
        <f t="shared" ca="1" si="24"/>
        <v>0.91221854424408444</v>
      </c>
      <c r="Q176">
        <f t="shared" ca="1" si="29"/>
        <v>0.94746265779648386</v>
      </c>
      <c r="R176">
        <f t="shared" ca="1" si="30"/>
        <v>106.67980331499463</v>
      </c>
      <c r="T176">
        <f t="shared" si="25"/>
        <v>0.68333333333333213</v>
      </c>
      <c r="U176">
        <f t="shared" ca="1" si="26"/>
        <v>3.2667388554523273E-2</v>
      </c>
      <c r="V176">
        <f t="shared" ca="1" si="27"/>
        <v>1.4634641293540198</v>
      </c>
      <c r="W176">
        <f t="shared" ca="1" si="31"/>
        <v>1.496131517908543</v>
      </c>
      <c r="X176">
        <f t="shared" ca="1" si="32"/>
        <v>99.498297181478364</v>
      </c>
    </row>
    <row r="177" spans="1:24" x14ac:dyDescent="0.25">
      <c r="A177">
        <f t="shared" ca="1" si="23"/>
        <v>100.12573946190899</v>
      </c>
      <c r="N177">
        <f t="shared" si="28"/>
        <v>0.68749999999999878</v>
      </c>
      <c r="O177" cm="1">
        <f t="array" aca="1" ref="O177" ca="1">mu*dt_1*R176</f>
        <v>3.5559934438331539E-2</v>
      </c>
      <c r="P177">
        <f t="shared" ca="1" si="24"/>
        <v>-4.2712628960498593</v>
      </c>
      <c r="Q177">
        <f t="shared" ca="1" si="29"/>
        <v>-4.235702961611528</v>
      </c>
      <c r="R177">
        <f t="shared" ca="1" si="30"/>
        <v>102.44410035338311</v>
      </c>
      <c r="T177">
        <f t="shared" si="25"/>
        <v>0.68749999999999878</v>
      </c>
      <c r="U177">
        <f t="shared" ca="1" si="26"/>
        <v>3.3166099060492789E-2</v>
      </c>
      <c r="V177">
        <f t="shared" ca="1" si="27"/>
        <v>0.59427618137012972</v>
      </c>
      <c r="W177">
        <f t="shared" ca="1" si="31"/>
        <v>0.62744228043062256</v>
      </c>
      <c r="X177">
        <f t="shared" ca="1" si="32"/>
        <v>100.12573946190899</v>
      </c>
    </row>
    <row r="178" spans="1:24" x14ac:dyDescent="0.25">
      <c r="A178">
        <f t="shared" ca="1" si="23"/>
        <v>101.666066724543</v>
      </c>
      <c r="N178">
        <f t="shared" si="28"/>
        <v>0.69166666666666543</v>
      </c>
      <c r="O178" cm="1">
        <f t="array" aca="1" ref="O178" ca="1">mu*dt_1*R177</f>
        <v>3.4148033451127699E-2</v>
      </c>
      <c r="P178">
        <f t="shared" ca="1" si="24"/>
        <v>1.7577293869488304</v>
      </c>
      <c r="Q178">
        <f t="shared" ca="1" si="29"/>
        <v>1.7918774203999581</v>
      </c>
      <c r="R178">
        <f t="shared" ca="1" si="30"/>
        <v>104.23597777378306</v>
      </c>
      <c r="T178">
        <f t="shared" si="25"/>
        <v>0.69166666666666543</v>
      </c>
      <c r="U178">
        <f t="shared" ca="1" si="26"/>
        <v>3.3375246487302994E-2</v>
      </c>
      <c r="V178">
        <f t="shared" ca="1" si="27"/>
        <v>1.506952016146708</v>
      </c>
      <c r="W178">
        <f t="shared" ca="1" si="31"/>
        <v>1.540327262634011</v>
      </c>
      <c r="X178">
        <f t="shared" ca="1" si="32"/>
        <v>101.666066724543</v>
      </c>
    </row>
    <row r="179" spans="1:24" x14ac:dyDescent="0.25">
      <c r="A179">
        <f t="shared" ca="1" si="23"/>
        <v>100.66053988864365</v>
      </c>
      <c r="N179">
        <f t="shared" si="28"/>
        <v>0.69583333333333208</v>
      </c>
      <c r="O179" cm="1">
        <f t="array" aca="1" ref="O179" ca="1">mu*dt_1*R178</f>
        <v>3.4745325924594353E-2</v>
      </c>
      <c r="P179">
        <f t="shared" ca="1" si="24"/>
        <v>-0.55304532952948648</v>
      </c>
      <c r="Q179">
        <f t="shared" ca="1" si="29"/>
        <v>-0.51830000360489215</v>
      </c>
      <c r="R179">
        <f t="shared" ca="1" si="30"/>
        <v>103.71767777017817</v>
      </c>
      <c r="T179">
        <f t="shared" si="25"/>
        <v>0.69583333333333208</v>
      </c>
      <c r="U179">
        <f t="shared" ca="1" si="26"/>
        <v>3.3888688908180996E-2</v>
      </c>
      <c r="V179">
        <f t="shared" ca="1" si="27"/>
        <v>-1.0394155248075303</v>
      </c>
      <c r="W179">
        <f t="shared" ca="1" si="31"/>
        <v>-1.0055268358993492</v>
      </c>
      <c r="X179">
        <f t="shared" ca="1" si="32"/>
        <v>100.66053988864365</v>
      </c>
    </row>
    <row r="180" spans="1:24" x14ac:dyDescent="0.25">
      <c r="A180">
        <f t="shared" ca="1" si="23"/>
        <v>101.44959538152803</v>
      </c>
      <c r="N180">
        <f t="shared" si="28"/>
        <v>0.69999999999999873</v>
      </c>
      <c r="O180" cm="1">
        <f t="array" aca="1" ref="O180" ca="1">mu*dt_1*R179</f>
        <v>3.4572559256726053E-2</v>
      </c>
      <c r="P180">
        <f t="shared" ca="1" si="24"/>
        <v>-0.13960859204263132</v>
      </c>
      <c r="Q180">
        <f t="shared" ca="1" si="29"/>
        <v>-0.10503603278590526</v>
      </c>
      <c r="R180">
        <f t="shared" ca="1" si="30"/>
        <v>103.61264173739227</v>
      </c>
      <c r="T180">
        <f t="shared" si="25"/>
        <v>0.69999999999999873</v>
      </c>
      <c r="U180">
        <f t="shared" ca="1" si="26"/>
        <v>3.3553513296214553E-2</v>
      </c>
      <c r="V180">
        <f t="shared" ca="1" si="27"/>
        <v>0.75550197958815601</v>
      </c>
      <c r="W180">
        <f t="shared" ca="1" si="31"/>
        <v>0.7890554928843706</v>
      </c>
      <c r="X180">
        <f t="shared" ca="1" si="32"/>
        <v>101.44959538152803</v>
      </c>
    </row>
    <row r="181" spans="1:24" x14ac:dyDescent="0.25">
      <c r="A181">
        <f t="shared" ca="1" si="23"/>
        <v>102.03206112312792</v>
      </c>
      <c r="N181">
        <f t="shared" si="28"/>
        <v>0.70416666666666539</v>
      </c>
      <c r="O181" cm="1">
        <f t="array" aca="1" ref="O181" ca="1">mu*dt_1*R180</f>
        <v>3.4537547245797419E-2</v>
      </c>
      <c r="P181">
        <f t="shared" ca="1" si="24"/>
        <v>-0.15997975818585353</v>
      </c>
      <c r="Q181">
        <f t="shared" ca="1" si="29"/>
        <v>-0.12544221094005611</v>
      </c>
      <c r="R181">
        <f t="shared" ca="1" si="30"/>
        <v>103.48719952645222</v>
      </c>
      <c r="T181">
        <f t="shared" si="25"/>
        <v>0.70416666666666539</v>
      </c>
      <c r="U181">
        <f t="shared" ca="1" si="26"/>
        <v>3.3816531793842676E-2</v>
      </c>
      <c r="V181">
        <f t="shared" ca="1" si="27"/>
        <v>0.54864920980604659</v>
      </c>
      <c r="W181">
        <f t="shared" ca="1" si="31"/>
        <v>0.58246574159988929</v>
      </c>
      <c r="X181">
        <f t="shared" ca="1" si="32"/>
        <v>102.03206112312792</v>
      </c>
    </row>
    <row r="182" spans="1:24" x14ac:dyDescent="0.25">
      <c r="A182">
        <f t="shared" ca="1" si="23"/>
        <v>101.72340032980975</v>
      </c>
      <c r="N182">
        <f t="shared" si="28"/>
        <v>0.70833333333333204</v>
      </c>
      <c r="O182" cm="1">
        <f t="array" aca="1" ref="O182" ca="1">mu*dt_1*R181</f>
        <v>3.4495733175484072E-2</v>
      </c>
      <c r="P182">
        <f t="shared" ca="1" si="24"/>
        <v>-0.9337840999605822</v>
      </c>
      <c r="Q182">
        <f t="shared" ca="1" si="29"/>
        <v>-0.89928836678509816</v>
      </c>
      <c r="R182">
        <f t="shared" ca="1" si="30"/>
        <v>102.58791115966712</v>
      </c>
      <c r="T182">
        <f t="shared" si="25"/>
        <v>0.70833333333333204</v>
      </c>
      <c r="U182">
        <f t="shared" ca="1" si="26"/>
        <v>3.4010687041042639E-2</v>
      </c>
      <c r="V182">
        <f t="shared" ca="1" si="27"/>
        <v>-0.34267148035920797</v>
      </c>
      <c r="W182">
        <f t="shared" ca="1" si="31"/>
        <v>-0.30866079331816532</v>
      </c>
      <c r="X182">
        <f t="shared" ca="1" si="32"/>
        <v>101.72340032980975</v>
      </c>
    </row>
    <row r="183" spans="1:24" x14ac:dyDescent="0.25">
      <c r="A183">
        <f t="shared" ca="1" si="23"/>
        <v>100.4485164367226</v>
      </c>
      <c r="N183">
        <f t="shared" si="28"/>
        <v>0.71249999999999869</v>
      </c>
      <c r="O183" cm="1">
        <f t="array" aca="1" ref="O183" ca="1">mu*dt_1*R182</f>
        <v>3.4195970386555703E-2</v>
      </c>
      <c r="P183">
        <f t="shared" ca="1" si="24"/>
        <v>-2.1735906933310725</v>
      </c>
      <c r="Q183">
        <f t="shared" ca="1" si="29"/>
        <v>-2.1393947229445169</v>
      </c>
      <c r="R183">
        <f t="shared" ca="1" si="30"/>
        <v>100.4485164367226</v>
      </c>
      <c r="T183">
        <f t="shared" si="25"/>
        <v>0.71249999999999869</v>
      </c>
      <c r="U183">
        <f t="shared" ca="1" si="26"/>
        <v>3.3907800109936582E-2</v>
      </c>
      <c r="V183">
        <f t="shared" ca="1" si="27"/>
        <v>-0.86852913291874967</v>
      </c>
      <c r="W183">
        <f t="shared" ca="1" si="31"/>
        <v>-0.83462133280881312</v>
      </c>
      <c r="X183">
        <f t="shared" ca="1" si="32"/>
        <v>100.88877899700094</v>
      </c>
    </row>
    <row r="184" spans="1:24" x14ac:dyDescent="0.25">
      <c r="A184">
        <f t="shared" ca="1" si="23"/>
        <v>99.94853252428922</v>
      </c>
      <c r="N184">
        <f t="shared" si="28"/>
        <v>0.71666666666666534</v>
      </c>
      <c r="O184" cm="1">
        <f t="array" aca="1" ref="O184" ca="1">mu*dt_1*R183</f>
        <v>3.3482838812240866E-2</v>
      </c>
      <c r="P184">
        <f t="shared" ca="1" si="24"/>
        <v>-0.53346675124562426</v>
      </c>
      <c r="Q184">
        <f t="shared" ca="1" si="29"/>
        <v>-0.49998391243338342</v>
      </c>
      <c r="R184">
        <f t="shared" ca="1" si="30"/>
        <v>99.94853252428922</v>
      </c>
      <c r="T184">
        <f t="shared" si="25"/>
        <v>0.71666666666666534</v>
      </c>
      <c r="U184">
        <f t="shared" ca="1" si="26"/>
        <v>3.3629592999000313E-2</v>
      </c>
      <c r="V184">
        <f t="shared" ca="1" si="27"/>
        <v>2.9197710432885198</v>
      </c>
      <c r="W184">
        <f t="shared" ca="1" si="31"/>
        <v>2.9534006362875203</v>
      </c>
      <c r="X184">
        <f t="shared" ca="1" si="32"/>
        <v>103.84217963328847</v>
      </c>
    </row>
    <row r="185" spans="1:24" x14ac:dyDescent="0.25">
      <c r="A185">
        <f t="shared" ca="1" si="23"/>
        <v>99.354673135895737</v>
      </c>
      <c r="N185">
        <f t="shared" si="28"/>
        <v>0.72083333333333199</v>
      </c>
      <c r="O185" cm="1">
        <f t="array" aca="1" ref="O185" ca="1">mu*dt_1*R184</f>
        <v>3.3316177508096408E-2</v>
      </c>
      <c r="P185">
        <f t="shared" ca="1" si="24"/>
        <v>-0.62717556590158063</v>
      </c>
      <c r="Q185">
        <f t="shared" ca="1" si="29"/>
        <v>-0.59385938839348418</v>
      </c>
      <c r="R185">
        <f t="shared" ca="1" si="30"/>
        <v>99.354673135895737</v>
      </c>
      <c r="T185">
        <f t="shared" si="25"/>
        <v>0.72083333333333199</v>
      </c>
      <c r="U185">
        <f t="shared" ca="1" si="26"/>
        <v>3.4614059877762823E-2</v>
      </c>
      <c r="V185">
        <f t="shared" ca="1" si="27"/>
        <v>1.789780596717391E-2</v>
      </c>
      <c r="W185">
        <f t="shared" ca="1" si="31"/>
        <v>5.2511865844936736E-2</v>
      </c>
      <c r="X185">
        <f t="shared" ca="1" si="32"/>
        <v>103.8946914991334</v>
      </c>
    </row>
    <row r="186" spans="1:24" x14ac:dyDescent="0.25">
      <c r="A186">
        <f t="shared" ca="1" si="23"/>
        <v>97.174296218891669</v>
      </c>
      <c r="N186">
        <f t="shared" si="28"/>
        <v>0.72499999999999865</v>
      </c>
      <c r="O186" cm="1">
        <f t="array" aca="1" ref="O186" ca="1">mu*dt_1*R185</f>
        <v>3.3118224378631912E-2</v>
      </c>
      <c r="P186">
        <f t="shared" ca="1" si="24"/>
        <v>-2.2134951413826993</v>
      </c>
      <c r="Q186">
        <f t="shared" ca="1" si="29"/>
        <v>-2.1803769170040672</v>
      </c>
      <c r="R186">
        <f t="shared" ca="1" si="30"/>
        <v>97.174296218891669</v>
      </c>
      <c r="T186">
        <f t="shared" si="25"/>
        <v>0.72499999999999865</v>
      </c>
      <c r="U186">
        <f t="shared" ca="1" si="26"/>
        <v>3.4631563833044464E-2</v>
      </c>
      <c r="V186">
        <f t="shared" ca="1" si="27"/>
        <v>0.63191863124917291</v>
      </c>
      <c r="W186">
        <f t="shared" ca="1" si="31"/>
        <v>0.66655019508221736</v>
      </c>
      <c r="X186">
        <f t="shared" ca="1" si="32"/>
        <v>104.56124169421562</v>
      </c>
    </row>
    <row r="187" spans="1:24" x14ac:dyDescent="0.25">
      <c r="A187">
        <f t="shared" ca="1" si="23"/>
        <v>96.964274143503403</v>
      </c>
      <c r="N187">
        <f t="shared" si="28"/>
        <v>0.7291666666666653</v>
      </c>
      <c r="O187" cm="1">
        <f t="array" aca="1" ref="O187" ca="1">mu*dt_1*R186</f>
        <v>3.239143207296389E-2</v>
      </c>
      <c r="P187">
        <f t="shared" ca="1" si="24"/>
        <v>-0.24241350746123666</v>
      </c>
      <c r="Q187">
        <f t="shared" ca="1" si="29"/>
        <v>-0.21002207538827278</v>
      </c>
      <c r="R187">
        <f t="shared" ca="1" si="30"/>
        <v>96.964274143503403</v>
      </c>
      <c r="T187">
        <f t="shared" si="25"/>
        <v>0.7291666666666653</v>
      </c>
      <c r="U187">
        <f t="shared" ca="1" si="26"/>
        <v>3.4853747231405212E-2</v>
      </c>
      <c r="V187">
        <f t="shared" ca="1" si="27"/>
        <v>-1.8879521879626024</v>
      </c>
      <c r="W187">
        <f t="shared" ca="1" si="31"/>
        <v>-1.8530984407311972</v>
      </c>
      <c r="X187">
        <f t="shared" ca="1" si="32"/>
        <v>102.70814325348442</v>
      </c>
    </row>
    <row r="188" spans="1:24" x14ac:dyDescent="0.25">
      <c r="A188">
        <f t="shared" ca="1" si="23"/>
        <v>97.612641556214939</v>
      </c>
      <c r="N188">
        <f t="shared" si="28"/>
        <v>0.73333333333333195</v>
      </c>
      <c r="O188" cm="1">
        <f t="array" aca="1" ref="O188" ca="1">mu*dt_1*R187</f>
        <v>3.2321424714501133E-2</v>
      </c>
      <c r="P188">
        <f t="shared" ca="1" si="24"/>
        <v>0.61604598799703869</v>
      </c>
      <c r="Q188">
        <f t="shared" ca="1" si="29"/>
        <v>0.64836741271153986</v>
      </c>
      <c r="R188">
        <f t="shared" ca="1" si="30"/>
        <v>97.612641556214939</v>
      </c>
      <c r="T188">
        <f t="shared" si="25"/>
        <v>0.73333333333333195</v>
      </c>
      <c r="U188">
        <f t="shared" ca="1" si="26"/>
        <v>3.4236047751161479E-2</v>
      </c>
      <c r="V188">
        <f t="shared" ca="1" si="27"/>
        <v>0.87526903296699377</v>
      </c>
      <c r="W188">
        <f t="shared" ca="1" si="31"/>
        <v>0.90950508071815528</v>
      </c>
      <c r="X188">
        <f t="shared" ca="1" si="32"/>
        <v>103.61764833420258</v>
      </c>
    </row>
    <row r="189" spans="1:24" x14ac:dyDescent="0.25">
      <c r="A189">
        <f t="shared" ca="1" si="23"/>
        <v>99.568218356667003</v>
      </c>
      <c r="N189">
        <f t="shared" si="28"/>
        <v>0.7374999999999986</v>
      </c>
      <c r="O189" cm="1">
        <f t="array" aca="1" ref="O189" ca="1">mu*dt_1*R188</f>
        <v>3.2537547185404976E-2</v>
      </c>
      <c r="P189">
        <f t="shared" ca="1" si="24"/>
        <v>1.923039253266666</v>
      </c>
      <c r="Q189">
        <f t="shared" ca="1" si="29"/>
        <v>1.9555768004520711</v>
      </c>
      <c r="R189">
        <f t="shared" ca="1" si="30"/>
        <v>99.568218356667003</v>
      </c>
      <c r="T189">
        <f t="shared" si="25"/>
        <v>0.7374999999999986</v>
      </c>
      <c r="U189">
        <f t="shared" ca="1" si="26"/>
        <v>3.4539216111400865E-2</v>
      </c>
      <c r="V189">
        <f t="shared" ca="1" si="27"/>
        <v>-2.4136365157928474</v>
      </c>
      <c r="W189">
        <f t="shared" ca="1" si="31"/>
        <v>-2.3790972996814466</v>
      </c>
      <c r="X189">
        <f t="shared" ca="1" si="32"/>
        <v>101.23855103452114</v>
      </c>
    </row>
    <row r="190" spans="1:24" x14ac:dyDescent="0.25">
      <c r="A190">
        <f t="shared" ca="1" si="23"/>
        <v>101.33196784683975</v>
      </c>
      <c r="N190">
        <f t="shared" si="28"/>
        <v>0.74166666666666525</v>
      </c>
      <c r="O190" cm="1">
        <f t="array" aca="1" ref="O190" ca="1">mu*dt_1*R189</f>
        <v>3.3189406118889E-2</v>
      </c>
      <c r="P190">
        <f t="shared" ca="1" si="24"/>
        <v>1.8513692100554053</v>
      </c>
      <c r="Q190">
        <f t="shared" ca="1" si="29"/>
        <v>1.8845586161742944</v>
      </c>
      <c r="R190">
        <f t="shared" ca="1" si="30"/>
        <v>101.45277697284129</v>
      </c>
      <c r="T190">
        <f t="shared" si="25"/>
        <v>0.74166666666666525</v>
      </c>
      <c r="U190">
        <f t="shared" ca="1" si="26"/>
        <v>3.3746183678173711E-2</v>
      </c>
      <c r="V190">
        <f t="shared" ca="1" si="27"/>
        <v>5.9670628640433467E-2</v>
      </c>
      <c r="W190">
        <f t="shared" ca="1" si="31"/>
        <v>9.3416812318607184E-2</v>
      </c>
      <c r="X190">
        <f t="shared" ca="1" si="32"/>
        <v>101.33196784683975</v>
      </c>
    </row>
    <row r="191" spans="1:24" x14ac:dyDescent="0.25">
      <c r="A191">
        <f t="shared" ca="1" si="23"/>
        <v>100.48391821841511</v>
      </c>
      <c r="N191">
        <f t="shared" si="28"/>
        <v>0.7458333333333319</v>
      </c>
      <c r="O191" cm="1">
        <f t="array" aca="1" ref="O191" ca="1">mu*dt_1*R190</f>
        <v>3.3817592324280429E-2</v>
      </c>
      <c r="P191">
        <f t="shared" ca="1" si="24"/>
        <v>-1.0026763467504574</v>
      </c>
      <c r="Q191">
        <f t="shared" ca="1" si="29"/>
        <v>-0.96885875442617697</v>
      </c>
      <c r="R191">
        <f t="shared" ca="1" si="30"/>
        <v>100.48391821841511</v>
      </c>
      <c r="T191">
        <f t="shared" si="25"/>
        <v>0.7458333333333319</v>
      </c>
      <c r="U191">
        <f t="shared" ca="1" si="26"/>
        <v>3.3777322615613253E-2</v>
      </c>
      <c r="V191">
        <f t="shared" ca="1" si="27"/>
        <v>-0.77375082912009219</v>
      </c>
      <c r="W191">
        <f t="shared" ca="1" si="31"/>
        <v>-0.73997350650447891</v>
      </c>
      <c r="X191">
        <f t="shared" ca="1" si="32"/>
        <v>100.59199434033526</v>
      </c>
    </row>
    <row r="192" spans="1:24" x14ac:dyDescent="0.25">
      <c r="A192">
        <f t="shared" ca="1" si="23"/>
        <v>99.689778579125587</v>
      </c>
      <c r="N192">
        <f t="shared" si="28"/>
        <v>0.74999999999999856</v>
      </c>
      <c r="O192" cm="1">
        <f t="array" aca="1" ref="O192" ca="1">mu*dt_1*R191</f>
        <v>3.3494639406138373E-2</v>
      </c>
      <c r="P192">
        <f t="shared" ca="1" si="24"/>
        <v>-0.19971876905380134</v>
      </c>
      <c r="Q192">
        <f t="shared" ca="1" si="29"/>
        <v>-0.16622412964766298</v>
      </c>
      <c r="R192">
        <f t="shared" ca="1" si="30"/>
        <v>100.31769408876745</v>
      </c>
      <c r="T192">
        <f t="shared" si="25"/>
        <v>0.74999999999999856</v>
      </c>
      <c r="U192">
        <f t="shared" ca="1" si="26"/>
        <v>3.3530664780111755E-2</v>
      </c>
      <c r="V192">
        <f t="shared" ca="1" si="27"/>
        <v>-0.93574642598978397</v>
      </c>
      <c r="W192">
        <f t="shared" ca="1" si="31"/>
        <v>-0.90221576120967217</v>
      </c>
      <c r="X192">
        <f t="shared" ca="1" si="32"/>
        <v>99.689778579125587</v>
      </c>
    </row>
    <row r="193" spans="1:24" x14ac:dyDescent="0.25">
      <c r="A193">
        <f t="shared" ca="1" si="23"/>
        <v>100.7335041058889</v>
      </c>
      <c r="N193">
        <f t="shared" si="28"/>
        <v>0.75416666666666521</v>
      </c>
      <c r="O193" cm="1">
        <f t="array" aca="1" ref="O193" ca="1">mu*dt_1*R192</f>
        <v>3.3439231362922484E-2</v>
      </c>
      <c r="P193">
        <f t="shared" ca="1" si="24"/>
        <v>0.38237078575851802</v>
      </c>
      <c r="Q193">
        <f t="shared" ca="1" si="29"/>
        <v>0.4158100171214405</v>
      </c>
      <c r="R193">
        <f t="shared" ca="1" si="30"/>
        <v>100.7335041058889</v>
      </c>
      <c r="T193">
        <f t="shared" si="25"/>
        <v>0.75416666666666521</v>
      </c>
      <c r="U193">
        <f t="shared" ca="1" si="26"/>
        <v>3.322992619304186E-2</v>
      </c>
      <c r="V193">
        <f t="shared" ca="1" si="27"/>
        <v>2.130215156875733</v>
      </c>
      <c r="W193">
        <f t="shared" ca="1" si="31"/>
        <v>2.1634450830687748</v>
      </c>
      <c r="X193">
        <f t="shared" ca="1" si="32"/>
        <v>101.85322366219437</v>
      </c>
    </row>
    <row r="194" spans="1:24" x14ac:dyDescent="0.25">
      <c r="A194">
        <f t="shared" ca="1" si="23"/>
        <v>99.32942638655166</v>
      </c>
      <c r="N194">
        <f t="shared" si="28"/>
        <v>0.75833333333333186</v>
      </c>
      <c r="O194" cm="1">
        <f t="array" aca="1" ref="O194" ca="1">mu*dt_1*R193</f>
        <v>3.3577834701962968E-2</v>
      </c>
      <c r="P194">
        <f t="shared" ca="1" si="24"/>
        <v>-1.4376555540392</v>
      </c>
      <c r="Q194">
        <f t="shared" ca="1" si="29"/>
        <v>-1.4040777193372369</v>
      </c>
      <c r="R194">
        <f t="shared" ca="1" si="30"/>
        <v>99.32942638655166</v>
      </c>
      <c r="T194">
        <f t="shared" si="25"/>
        <v>0.75833333333333186</v>
      </c>
      <c r="U194">
        <f t="shared" ca="1" si="26"/>
        <v>3.3951074554064785E-2</v>
      </c>
      <c r="V194">
        <f t="shared" ca="1" si="27"/>
        <v>-1.0732341327626931</v>
      </c>
      <c r="W194">
        <f t="shared" ca="1" si="31"/>
        <v>-1.0392830582086283</v>
      </c>
      <c r="X194">
        <f t="shared" ca="1" si="32"/>
        <v>100.81394060398574</v>
      </c>
    </row>
    <row r="195" spans="1:24" x14ac:dyDescent="0.25">
      <c r="A195">
        <f t="shared" ca="1" si="23"/>
        <v>99.601856731658899</v>
      </c>
      <c r="N195">
        <f t="shared" si="28"/>
        <v>0.76249999999999851</v>
      </c>
      <c r="O195" cm="1">
        <f t="array" aca="1" ref="O195" ca="1">mu*dt_1*R194</f>
        <v>3.3109808795517219E-2</v>
      </c>
      <c r="P195">
        <f t="shared" ca="1" si="24"/>
        <v>0.23932053631171915</v>
      </c>
      <c r="Q195">
        <f t="shared" ca="1" si="29"/>
        <v>0.27243034510723635</v>
      </c>
      <c r="R195">
        <f t="shared" ca="1" si="30"/>
        <v>99.601856731658899</v>
      </c>
      <c r="T195">
        <f t="shared" si="25"/>
        <v>0.76249999999999851</v>
      </c>
      <c r="U195">
        <f t="shared" ca="1" si="26"/>
        <v>3.3604646867995247E-2</v>
      </c>
      <c r="V195">
        <f t="shared" ca="1" si="27"/>
        <v>0.83884937263863557</v>
      </c>
      <c r="W195">
        <f t="shared" ca="1" si="31"/>
        <v>0.87245401950663082</v>
      </c>
      <c r="X195">
        <f t="shared" ca="1" si="32"/>
        <v>101.68639462349238</v>
      </c>
    </row>
    <row r="196" spans="1:24" x14ac:dyDescent="0.25">
      <c r="A196">
        <f t="shared" ca="1" si="23"/>
        <v>100.67446320282217</v>
      </c>
      <c r="N196">
        <f t="shared" si="28"/>
        <v>0.76666666666666516</v>
      </c>
      <c r="O196" cm="1">
        <f t="array" aca="1" ref="O196" ca="1">mu*dt_1*R195</f>
        <v>3.3200618910552968E-2</v>
      </c>
      <c r="P196">
        <f t="shared" ca="1" si="24"/>
        <v>1.0394058522527152</v>
      </c>
      <c r="Q196">
        <f t="shared" ca="1" si="29"/>
        <v>1.0726064711632681</v>
      </c>
      <c r="R196">
        <f t="shared" ca="1" si="30"/>
        <v>100.67446320282217</v>
      </c>
      <c r="T196">
        <f t="shared" si="25"/>
        <v>0.76666666666666516</v>
      </c>
      <c r="U196">
        <f t="shared" ca="1" si="26"/>
        <v>3.3895464874497461E-2</v>
      </c>
      <c r="V196">
        <f t="shared" ca="1" si="27"/>
        <v>0.27390608099818559</v>
      </c>
      <c r="W196">
        <f t="shared" ca="1" si="31"/>
        <v>0.30780154587268305</v>
      </c>
      <c r="X196">
        <f t="shared" ca="1" si="32"/>
        <v>101.99419616936505</v>
      </c>
    </row>
    <row r="197" spans="1:24" x14ac:dyDescent="0.25">
      <c r="A197">
        <f t="shared" ca="1" si="23"/>
        <v>100.66934372881882</v>
      </c>
      <c r="N197">
        <f t="shared" si="28"/>
        <v>0.77083333333333182</v>
      </c>
      <c r="O197" cm="1">
        <f t="array" aca="1" ref="O197" ca="1">mu*dt_1*R196</f>
        <v>3.3558154400940718E-2</v>
      </c>
      <c r="P197">
        <f t="shared" ca="1" si="24"/>
        <v>-3.867762840429028E-2</v>
      </c>
      <c r="Q197">
        <f t="shared" ca="1" si="29"/>
        <v>-5.1194740033495625E-3</v>
      </c>
      <c r="R197">
        <f t="shared" ca="1" si="30"/>
        <v>100.66934372881882</v>
      </c>
      <c r="T197">
        <f t="shared" si="25"/>
        <v>0.77083333333333182</v>
      </c>
      <c r="U197">
        <f t="shared" ca="1" si="26"/>
        <v>3.3998065389788348E-2</v>
      </c>
      <c r="V197">
        <f t="shared" ca="1" si="27"/>
        <v>1.1020995015725787</v>
      </c>
      <c r="W197">
        <f t="shared" ca="1" si="31"/>
        <v>1.1360975669623672</v>
      </c>
      <c r="X197">
        <f t="shared" ca="1" si="32"/>
        <v>103.13029373632742</v>
      </c>
    </row>
    <row r="198" spans="1:24" x14ac:dyDescent="0.25">
      <c r="A198">
        <f t="shared" ca="1" si="23"/>
        <v>100.20908301486561</v>
      </c>
      <c r="N198">
        <f t="shared" si="28"/>
        <v>0.77499999999999847</v>
      </c>
      <c r="O198" cm="1">
        <f t="array" aca="1" ref="O198" ca="1">mu*dt_1*R197</f>
        <v>3.3556447909606268E-2</v>
      </c>
      <c r="P198">
        <f t="shared" ca="1" si="24"/>
        <v>-0.49381716186280822</v>
      </c>
      <c r="Q198">
        <f t="shared" ca="1" si="29"/>
        <v>-0.46026071395320195</v>
      </c>
      <c r="R198">
        <f t="shared" ca="1" si="30"/>
        <v>100.20908301486561</v>
      </c>
      <c r="T198">
        <f t="shared" si="25"/>
        <v>0.77499999999999847</v>
      </c>
      <c r="U198">
        <f t="shared" ca="1" si="26"/>
        <v>3.4376764578775809E-2</v>
      </c>
      <c r="V198">
        <f t="shared" ca="1" si="27"/>
        <v>0.47062152712985339</v>
      </c>
      <c r="W198">
        <f t="shared" ca="1" si="31"/>
        <v>0.5049982917086292</v>
      </c>
      <c r="X198">
        <f t="shared" ca="1" si="32"/>
        <v>103.63529202803605</v>
      </c>
    </row>
    <row r="199" spans="1:24" x14ac:dyDescent="0.25">
      <c r="A199">
        <f t="shared" ca="1" si="23"/>
        <v>100.4948577355111</v>
      </c>
      <c r="N199">
        <f t="shared" si="28"/>
        <v>0.77916666666666512</v>
      </c>
      <c r="O199" cm="1">
        <f t="array" aca="1" ref="O199" ca="1">mu*dt_1*R198</f>
        <v>3.3403027671621871E-2</v>
      </c>
      <c r="P199">
        <f t="shared" ca="1" si="24"/>
        <v>0.25237169297387685</v>
      </c>
      <c r="Q199">
        <f t="shared" ca="1" si="29"/>
        <v>0.28577472064549869</v>
      </c>
      <c r="R199">
        <f t="shared" ca="1" si="30"/>
        <v>100.4948577355111</v>
      </c>
      <c r="T199">
        <f t="shared" si="25"/>
        <v>0.77916666666666512</v>
      </c>
      <c r="U199">
        <f t="shared" ca="1" si="26"/>
        <v>3.4545097342678681E-2</v>
      </c>
      <c r="V199">
        <f t="shared" ca="1" si="27"/>
        <v>2.493009244850108</v>
      </c>
      <c r="W199">
        <f t="shared" ca="1" si="31"/>
        <v>2.5275543421927869</v>
      </c>
      <c r="X199">
        <f t="shared" ca="1" si="32"/>
        <v>106.16284637022883</v>
      </c>
    </row>
    <row r="200" spans="1:24" x14ac:dyDescent="0.25">
      <c r="A200">
        <f t="shared" ca="1" si="23"/>
        <v>100.25435035787265</v>
      </c>
      <c r="N200">
        <f t="shared" si="28"/>
        <v>0.78333333333333177</v>
      </c>
      <c r="O200" cm="1">
        <f t="array" aca="1" ref="O200" ca="1">mu*dt_1*R199</f>
        <v>3.3498285911837032E-2</v>
      </c>
      <c r="P200">
        <f t="shared" ca="1" si="24"/>
        <v>-0.2740056635502906</v>
      </c>
      <c r="Q200">
        <f t="shared" ca="1" si="29"/>
        <v>-0.24050737763845356</v>
      </c>
      <c r="R200">
        <f t="shared" ca="1" si="30"/>
        <v>100.25435035787265</v>
      </c>
      <c r="T200">
        <f t="shared" si="25"/>
        <v>0.78333333333333177</v>
      </c>
      <c r="U200">
        <f t="shared" ca="1" si="26"/>
        <v>3.5387615456742946E-2</v>
      </c>
      <c r="V200">
        <f t="shared" ca="1" si="27"/>
        <v>-1.9049157388158084</v>
      </c>
      <c r="W200">
        <f t="shared" ca="1" si="31"/>
        <v>-1.8695281233590655</v>
      </c>
      <c r="X200">
        <f t="shared" ca="1" si="32"/>
        <v>104.29331824686977</v>
      </c>
    </row>
    <row r="201" spans="1:24" x14ac:dyDescent="0.25">
      <c r="A201">
        <f t="shared" ca="1" si="23"/>
        <v>102.93169527714123</v>
      </c>
      <c r="N201">
        <f t="shared" si="28"/>
        <v>0.78749999999999842</v>
      </c>
      <c r="O201" cm="1">
        <f t="array" aca="1" ref="O201" ca="1">mu*dt_1*R200</f>
        <v>3.3418116785957547E-2</v>
      </c>
      <c r="P201">
        <f t="shared" ca="1" si="24"/>
        <v>2.643926802482615</v>
      </c>
      <c r="Q201">
        <f t="shared" ca="1" si="29"/>
        <v>2.6773449192685725</v>
      </c>
      <c r="R201">
        <f t="shared" ca="1" si="30"/>
        <v>102.93169527714123</v>
      </c>
      <c r="T201">
        <f t="shared" si="25"/>
        <v>0.78749999999999842</v>
      </c>
      <c r="U201">
        <f t="shared" ca="1" si="26"/>
        <v>3.4764439415623259E-2</v>
      </c>
      <c r="V201">
        <f t="shared" ca="1" si="27"/>
        <v>6.5733353334598357E-2</v>
      </c>
      <c r="W201">
        <f t="shared" ca="1" si="31"/>
        <v>0.10049779275022161</v>
      </c>
      <c r="X201">
        <f t="shared" ca="1" si="32"/>
        <v>104.39381603961999</v>
      </c>
    </row>
    <row r="202" spans="1:24" x14ac:dyDescent="0.25">
      <c r="A202">
        <f t="shared" ca="1" si="23"/>
        <v>102.97228326698499</v>
      </c>
      <c r="N202">
        <f t="shared" si="28"/>
        <v>0.79166666666666508</v>
      </c>
      <c r="O202" cm="1">
        <f t="array" aca="1" ref="O202" ca="1">mu*dt_1*R201</f>
        <v>3.431056509238041E-2</v>
      </c>
      <c r="P202">
        <f t="shared" ca="1" si="24"/>
        <v>6.2774247513713126E-3</v>
      </c>
      <c r="Q202">
        <f t="shared" ca="1" si="29"/>
        <v>4.0587989843751726E-2</v>
      </c>
      <c r="R202">
        <f t="shared" ca="1" si="30"/>
        <v>102.97228326698499</v>
      </c>
      <c r="T202">
        <f t="shared" si="25"/>
        <v>0.79166666666666508</v>
      </c>
      <c r="U202">
        <f t="shared" ca="1" si="26"/>
        <v>3.4797938679873332E-2</v>
      </c>
      <c r="V202">
        <f t="shared" ca="1" si="27"/>
        <v>0.9629873276040023</v>
      </c>
      <c r="W202">
        <f t="shared" ca="1" si="31"/>
        <v>0.99778526628387565</v>
      </c>
      <c r="X202">
        <f t="shared" ca="1" si="32"/>
        <v>105.39160130590386</v>
      </c>
    </row>
    <row r="203" spans="1:24" x14ac:dyDescent="0.25">
      <c r="A203">
        <f t="shared" ca="1" si="23"/>
        <v>104.09433702952619</v>
      </c>
      <c r="N203">
        <f t="shared" si="28"/>
        <v>0.79583333333333173</v>
      </c>
      <c r="O203" cm="1">
        <f t="array" aca="1" ref="O203" ca="1">mu*dt_1*R202</f>
        <v>3.4324094422328331E-2</v>
      </c>
      <c r="P203">
        <f t="shared" ca="1" si="24"/>
        <v>1.0877296681188684</v>
      </c>
      <c r="Q203">
        <f t="shared" ca="1" si="29"/>
        <v>1.1220537625411968</v>
      </c>
      <c r="R203">
        <f t="shared" ca="1" si="30"/>
        <v>104.09433702952619</v>
      </c>
      <c r="T203">
        <f t="shared" si="25"/>
        <v>0.79583333333333173</v>
      </c>
      <c r="U203">
        <f t="shared" ca="1" si="26"/>
        <v>3.513053376863462E-2</v>
      </c>
      <c r="V203">
        <f t="shared" ca="1" si="27"/>
        <v>1.9224338286995479</v>
      </c>
      <c r="W203">
        <f t="shared" ca="1" si="31"/>
        <v>1.9575643624681827</v>
      </c>
      <c r="X203">
        <f t="shared" ca="1" si="32"/>
        <v>107.34916566837204</v>
      </c>
    </row>
    <row r="204" spans="1:24" x14ac:dyDescent="0.25">
      <c r="A204">
        <f t="shared" ca="1" si="23"/>
        <v>105.83463263813653</v>
      </c>
      <c r="N204">
        <f t="shared" si="28"/>
        <v>0.79999999999999838</v>
      </c>
      <c r="O204" cm="1">
        <f t="array" aca="1" ref="O204" ca="1">mu*dt_1*R203</f>
        <v>3.4698112343175394E-2</v>
      </c>
      <c r="P204">
        <f t="shared" ca="1" si="24"/>
        <v>1.7055974962671638</v>
      </c>
      <c r="Q204">
        <f t="shared" ca="1" si="29"/>
        <v>1.7402956086103392</v>
      </c>
      <c r="R204">
        <f t="shared" ca="1" si="30"/>
        <v>105.83463263813653</v>
      </c>
      <c r="T204">
        <f t="shared" si="25"/>
        <v>0.79999999999999838</v>
      </c>
      <c r="U204">
        <f t="shared" ca="1" si="26"/>
        <v>3.5783055222790683E-2</v>
      </c>
      <c r="V204">
        <f t="shared" ca="1" si="27"/>
        <v>1.4262781720374438</v>
      </c>
      <c r="W204">
        <f t="shared" ca="1" si="31"/>
        <v>1.4620612272602345</v>
      </c>
      <c r="X204">
        <f t="shared" ca="1" si="32"/>
        <v>108.81122689563227</v>
      </c>
    </row>
    <row r="205" spans="1:24" x14ac:dyDescent="0.25">
      <c r="A205">
        <f t="shared" ref="A205:A268" ca="1" si="33">MIN(R205,X205)</f>
        <v>106.8088845484634</v>
      </c>
      <c r="N205">
        <f t="shared" si="28"/>
        <v>0.80416666666666503</v>
      </c>
      <c r="O205" cm="1">
        <f t="array" aca="1" ref="O205" ca="1">mu*dt_1*R204</f>
        <v>3.5278210879378838E-2</v>
      </c>
      <c r="P205">
        <f t="shared" ref="P205:P268" ca="1" si="34">_xlfn.NORM.INV(RAND(),0,1)*SQRT(dt_1)*sigma1*R204</f>
        <v>0.93897369944749776</v>
      </c>
      <c r="Q205">
        <f t="shared" ca="1" si="29"/>
        <v>0.97425191032687664</v>
      </c>
      <c r="R205">
        <f t="shared" ca="1" si="30"/>
        <v>106.8088845484634</v>
      </c>
      <c r="T205">
        <f t="shared" ref="T205:T268" si="35">T204+dt_2</f>
        <v>0.80416666666666503</v>
      </c>
      <c r="U205">
        <f t="shared" ref="U205:U268" ca="1" si="36">mu_2*X204*dt_2</f>
        <v>3.6270408965210756E-2</v>
      </c>
      <c r="V205">
        <f t="shared" ref="V205:V268" ca="1" si="37">(rho*P205/sigma1/R204+SQRT(1-rho^2)*_xlfn.NORM.INV(RAND(),0,1)*SQRT(dt_2))*sigma2*X204</f>
        <v>0.90938127914044287</v>
      </c>
      <c r="W205">
        <f t="shared" ca="1" si="31"/>
        <v>0.94565168810565359</v>
      </c>
      <c r="X205">
        <f t="shared" ca="1" si="32"/>
        <v>109.75687858373793</v>
      </c>
    </row>
    <row r="206" spans="1:24" x14ac:dyDescent="0.25">
      <c r="A206">
        <f t="shared" ca="1" si="33"/>
        <v>104.57938026003228</v>
      </c>
      <c r="N206">
        <f t="shared" ref="N206:N269" si="38">N205+$C$8</f>
        <v>0.80833333333333168</v>
      </c>
      <c r="O206" cm="1">
        <f t="array" aca="1" ref="O206" ca="1">mu*dt_1*R205</f>
        <v>3.5602961516154462E-2</v>
      </c>
      <c r="P206">
        <f t="shared" ca="1" si="34"/>
        <v>-2.2651072499472757</v>
      </c>
      <c r="Q206">
        <f t="shared" ref="Q206:Q269" ca="1" si="39">O206+P206</f>
        <v>-2.2295042884311211</v>
      </c>
      <c r="R206">
        <f t="shared" ref="R206:R269" ca="1" si="40">R205+Q206</f>
        <v>104.57938026003228</v>
      </c>
      <c r="T206">
        <f t="shared" si="35"/>
        <v>0.80833333333333168</v>
      </c>
      <c r="U206">
        <f t="shared" ca="1" si="36"/>
        <v>3.6585626194579307E-2</v>
      </c>
      <c r="V206">
        <f t="shared" ca="1" si="37"/>
        <v>-2.325291251128438</v>
      </c>
      <c r="W206">
        <f t="shared" ref="W206:W269" ca="1" si="41">U206+V206</f>
        <v>-2.2887056249338587</v>
      </c>
      <c r="X206">
        <f t="shared" ref="X206:X269" ca="1" si="42">X205+W206</f>
        <v>107.46817295880408</v>
      </c>
    </row>
    <row r="207" spans="1:24" x14ac:dyDescent="0.25">
      <c r="A207">
        <f t="shared" ca="1" si="33"/>
        <v>108.29096273228967</v>
      </c>
      <c r="N207">
        <f t="shared" si="38"/>
        <v>0.81249999999999833</v>
      </c>
      <c r="O207" cm="1">
        <f t="array" aca="1" ref="O207" ca="1">mu*dt_1*R206</f>
        <v>3.4859793420010762E-2</v>
      </c>
      <c r="P207">
        <f t="shared" ca="1" si="34"/>
        <v>3.6767226788373839</v>
      </c>
      <c r="Q207">
        <f t="shared" ca="1" si="39"/>
        <v>3.7115824722573945</v>
      </c>
      <c r="R207">
        <f t="shared" ca="1" si="40"/>
        <v>108.29096273228967</v>
      </c>
      <c r="T207">
        <f t="shared" si="35"/>
        <v>0.81249999999999833</v>
      </c>
      <c r="U207">
        <f t="shared" ca="1" si="36"/>
        <v>3.5822724319601359E-2</v>
      </c>
      <c r="V207">
        <f t="shared" ca="1" si="37"/>
        <v>0.90328864086228089</v>
      </c>
      <c r="W207">
        <f t="shared" ca="1" si="41"/>
        <v>0.93911136518188221</v>
      </c>
      <c r="X207">
        <f t="shared" ca="1" si="42"/>
        <v>108.40728432398596</v>
      </c>
    </row>
    <row r="208" spans="1:24" x14ac:dyDescent="0.25">
      <c r="A208">
        <f t="shared" ca="1" si="33"/>
        <v>109.02298669132713</v>
      </c>
      <c r="N208">
        <f t="shared" si="38"/>
        <v>0.81666666666666499</v>
      </c>
      <c r="O208" cm="1">
        <f t="array" aca="1" ref="O208" ca="1">mu*dt_1*R207</f>
        <v>3.6096987577429893E-2</v>
      </c>
      <c r="P208">
        <f t="shared" ca="1" si="34"/>
        <v>0.69592697146003835</v>
      </c>
      <c r="Q208">
        <f t="shared" ca="1" si="39"/>
        <v>0.7320239590374682</v>
      </c>
      <c r="R208">
        <f t="shared" ca="1" si="40"/>
        <v>109.02298669132713</v>
      </c>
      <c r="T208">
        <f t="shared" si="35"/>
        <v>0.81666666666666499</v>
      </c>
      <c r="U208">
        <f t="shared" ca="1" si="36"/>
        <v>3.6135761441328657E-2</v>
      </c>
      <c r="V208">
        <f t="shared" ca="1" si="37"/>
        <v>1.1169390271524269</v>
      </c>
      <c r="W208">
        <f t="shared" ca="1" si="41"/>
        <v>1.1530747885937556</v>
      </c>
      <c r="X208">
        <f t="shared" ca="1" si="42"/>
        <v>109.56035911257972</v>
      </c>
    </row>
    <row r="209" spans="1:24" x14ac:dyDescent="0.25">
      <c r="A209">
        <f t="shared" ca="1" si="33"/>
        <v>108.63680521200934</v>
      </c>
      <c r="N209">
        <f t="shared" si="38"/>
        <v>0.82083333333333164</v>
      </c>
      <c r="O209" cm="1">
        <f t="array" aca="1" ref="O209" ca="1">mu*dt_1*R208</f>
        <v>3.6340995563775708E-2</v>
      </c>
      <c r="P209">
        <f t="shared" ca="1" si="34"/>
        <v>-0.42252247488158018</v>
      </c>
      <c r="Q209">
        <f t="shared" ca="1" si="39"/>
        <v>-0.38618147931780444</v>
      </c>
      <c r="R209">
        <f t="shared" ca="1" si="40"/>
        <v>108.63680521200934</v>
      </c>
      <c r="T209">
        <f t="shared" si="35"/>
        <v>0.82083333333333164</v>
      </c>
      <c r="U209">
        <f t="shared" ca="1" si="36"/>
        <v>3.6520119704193242E-2</v>
      </c>
      <c r="V209">
        <f t="shared" ca="1" si="37"/>
        <v>0.25528905429650151</v>
      </c>
      <c r="W209">
        <f t="shared" ca="1" si="41"/>
        <v>0.29180917400069473</v>
      </c>
      <c r="X209">
        <f t="shared" ca="1" si="42"/>
        <v>109.85216828658041</v>
      </c>
    </row>
    <row r="210" spans="1:24" x14ac:dyDescent="0.25">
      <c r="A210">
        <f t="shared" ca="1" si="33"/>
        <v>109.09733319743076</v>
      </c>
      <c r="N210">
        <f t="shared" si="38"/>
        <v>0.82499999999999829</v>
      </c>
      <c r="O210" cm="1">
        <f t="array" aca="1" ref="O210" ca="1">mu*dt_1*R209</f>
        <v>3.6212268404003108E-2</v>
      </c>
      <c r="P210">
        <f t="shared" ca="1" si="34"/>
        <v>0.42431571701741488</v>
      </c>
      <c r="Q210">
        <f t="shared" ca="1" si="39"/>
        <v>0.46052798542141798</v>
      </c>
      <c r="R210">
        <f t="shared" ca="1" si="40"/>
        <v>109.09733319743076</v>
      </c>
      <c r="T210">
        <f t="shared" si="35"/>
        <v>0.82499999999999829</v>
      </c>
      <c r="U210">
        <f t="shared" ca="1" si="36"/>
        <v>3.6617389428860142E-2</v>
      </c>
      <c r="V210">
        <f t="shared" ca="1" si="37"/>
        <v>-0.13365109058097122</v>
      </c>
      <c r="W210">
        <f t="shared" ca="1" si="41"/>
        <v>-9.7033701152111074E-2</v>
      </c>
      <c r="X210">
        <f t="shared" ca="1" si="42"/>
        <v>109.75513458542829</v>
      </c>
    </row>
    <row r="211" spans="1:24" x14ac:dyDescent="0.25">
      <c r="A211">
        <f t="shared" ca="1" si="33"/>
        <v>108.39919726478141</v>
      </c>
      <c r="N211">
        <f t="shared" si="38"/>
        <v>0.82916666666666494</v>
      </c>
      <c r="O211" cm="1">
        <f t="array" aca="1" ref="O211" ca="1">mu*dt_1*R210</f>
        <v>3.6365777732476914E-2</v>
      </c>
      <c r="P211">
        <f t="shared" ca="1" si="34"/>
        <v>-0.73450171038182421</v>
      </c>
      <c r="Q211">
        <f t="shared" ca="1" si="39"/>
        <v>-0.69813593264934726</v>
      </c>
      <c r="R211">
        <f t="shared" ca="1" si="40"/>
        <v>108.39919726478141</v>
      </c>
      <c r="T211">
        <f t="shared" si="35"/>
        <v>0.82916666666666494</v>
      </c>
      <c r="U211">
        <f t="shared" ca="1" si="36"/>
        <v>3.6585044861809433E-2</v>
      </c>
      <c r="V211">
        <f t="shared" ca="1" si="37"/>
        <v>1.2632472299020994</v>
      </c>
      <c r="W211">
        <f t="shared" ca="1" si="41"/>
        <v>1.2998322747639088</v>
      </c>
      <c r="X211">
        <f t="shared" ca="1" si="42"/>
        <v>111.05496686019221</v>
      </c>
    </row>
    <row r="212" spans="1:24" x14ac:dyDescent="0.25">
      <c r="A212">
        <f t="shared" ca="1" si="33"/>
        <v>108.99656170812055</v>
      </c>
      <c r="N212">
        <f t="shared" si="38"/>
        <v>0.83333333333333159</v>
      </c>
      <c r="O212" cm="1">
        <f t="array" aca="1" ref="O212" ca="1">mu*dt_1*R211</f>
        <v>3.6133065754927134E-2</v>
      </c>
      <c r="P212">
        <f t="shared" ca="1" si="34"/>
        <v>0.56123137758421715</v>
      </c>
      <c r="Q212">
        <f t="shared" ca="1" si="39"/>
        <v>0.59736444333914429</v>
      </c>
      <c r="R212">
        <f t="shared" ca="1" si="40"/>
        <v>108.99656170812055</v>
      </c>
      <c r="T212">
        <f t="shared" si="35"/>
        <v>0.83333333333333159</v>
      </c>
      <c r="U212">
        <f t="shared" ca="1" si="36"/>
        <v>3.7018322286730736E-2</v>
      </c>
      <c r="V212">
        <f t="shared" ca="1" si="37"/>
        <v>-0.54086913898748656</v>
      </c>
      <c r="W212">
        <f t="shared" ca="1" si="41"/>
        <v>-0.50385081670075582</v>
      </c>
      <c r="X212">
        <f t="shared" ca="1" si="42"/>
        <v>110.55111604349145</v>
      </c>
    </row>
    <row r="213" spans="1:24" x14ac:dyDescent="0.25">
      <c r="A213">
        <f t="shared" ca="1" si="33"/>
        <v>106.609851019773</v>
      </c>
      <c r="N213">
        <f t="shared" si="38"/>
        <v>0.83749999999999825</v>
      </c>
      <c r="O213" cm="1">
        <f t="array" aca="1" ref="O213" ca="1">mu*dt_1*R212</f>
        <v>3.6332187236040182E-2</v>
      </c>
      <c r="P213">
        <f t="shared" ca="1" si="34"/>
        <v>-2.4230428755835951</v>
      </c>
      <c r="Q213">
        <f t="shared" ca="1" si="39"/>
        <v>-2.3867106883475548</v>
      </c>
      <c r="R213">
        <f t="shared" ca="1" si="40"/>
        <v>106.609851019773</v>
      </c>
      <c r="T213">
        <f t="shared" si="35"/>
        <v>0.83749999999999825</v>
      </c>
      <c r="U213">
        <f t="shared" ca="1" si="36"/>
        <v>3.6850372014497153E-2</v>
      </c>
      <c r="V213">
        <f t="shared" ca="1" si="37"/>
        <v>0.38973906129214297</v>
      </c>
      <c r="W213">
        <f t="shared" ca="1" si="41"/>
        <v>0.42658943330664012</v>
      </c>
      <c r="X213">
        <f t="shared" ca="1" si="42"/>
        <v>110.97770547679809</v>
      </c>
    </row>
    <row r="214" spans="1:24" x14ac:dyDescent="0.25">
      <c r="A214">
        <f t="shared" ca="1" si="33"/>
        <v>105.6929373992719</v>
      </c>
      <c r="N214">
        <f t="shared" si="38"/>
        <v>0.8416666666666649</v>
      </c>
      <c r="O214" cm="1">
        <f t="array" aca="1" ref="O214" ca="1">mu*dt_1*R213</f>
        <v>3.5536617006590998E-2</v>
      </c>
      <c r="P214">
        <f t="shared" ca="1" si="34"/>
        <v>-0.95245023750769786</v>
      </c>
      <c r="Q214">
        <f t="shared" ca="1" si="39"/>
        <v>-0.91691362050110681</v>
      </c>
      <c r="R214">
        <f t="shared" ca="1" si="40"/>
        <v>105.6929373992719</v>
      </c>
      <c r="T214">
        <f t="shared" si="35"/>
        <v>0.8416666666666649</v>
      </c>
      <c r="U214">
        <f t="shared" ca="1" si="36"/>
        <v>3.6992568492266037E-2</v>
      </c>
      <c r="V214">
        <f t="shared" ca="1" si="37"/>
        <v>-1.1317014010592028</v>
      </c>
      <c r="W214">
        <f t="shared" ca="1" si="41"/>
        <v>-1.0947088325669367</v>
      </c>
      <c r="X214">
        <f t="shared" ca="1" si="42"/>
        <v>109.88299664423116</v>
      </c>
    </row>
    <row r="215" spans="1:24" x14ac:dyDescent="0.25">
      <c r="A215">
        <f t="shared" ca="1" si="33"/>
        <v>103.78595821708291</v>
      </c>
      <c r="N215">
        <f t="shared" si="38"/>
        <v>0.84583333333333155</v>
      </c>
      <c r="O215" cm="1">
        <f t="array" aca="1" ref="O215" ca="1">mu*dt_1*R214</f>
        <v>3.5230979133090631E-2</v>
      </c>
      <c r="P215">
        <f t="shared" ca="1" si="34"/>
        <v>-1.9422101613220746</v>
      </c>
      <c r="Q215">
        <f t="shared" ca="1" si="39"/>
        <v>-1.9069791821889839</v>
      </c>
      <c r="R215">
        <f t="shared" ca="1" si="40"/>
        <v>103.78595821708291</v>
      </c>
      <c r="T215">
        <f t="shared" si="35"/>
        <v>0.84583333333333155</v>
      </c>
      <c r="U215">
        <f t="shared" ca="1" si="36"/>
        <v>3.6627665548077053E-2</v>
      </c>
      <c r="V215">
        <f t="shared" ca="1" si="37"/>
        <v>-1.9182821191063841</v>
      </c>
      <c r="W215">
        <f t="shared" ca="1" si="41"/>
        <v>-1.8816544535583071</v>
      </c>
      <c r="X215">
        <f t="shared" ca="1" si="42"/>
        <v>108.00134219067284</v>
      </c>
    </row>
    <row r="216" spans="1:24" x14ac:dyDescent="0.25">
      <c r="A216">
        <f t="shared" ca="1" si="33"/>
        <v>105.13776652208016</v>
      </c>
      <c r="N216">
        <f t="shared" si="38"/>
        <v>0.8499999999999982</v>
      </c>
      <c r="O216" cm="1">
        <f t="array" aca="1" ref="O216" ca="1">mu*dt_1*R215</f>
        <v>3.4595319405694304E-2</v>
      </c>
      <c r="P216">
        <f t="shared" ca="1" si="34"/>
        <v>1.3172129855915615</v>
      </c>
      <c r="Q216">
        <f t="shared" ca="1" si="39"/>
        <v>1.3518083049972558</v>
      </c>
      <c r="R216">
        <f t="shared" ca="1" si="40"/>
        <v>105.13776652208016</v>
      </c>
      <c r="T216">
        <f t="shared" si="35"/>
        <v>0.8499999999999982</v>
      </c>
      <c r="U216">
        <f t="shared" ca="1" si="36"/>
        <v>3.6000447396890949E-2</v>
      </c>
      <c r="V216">
        <f t="shared" ca="1" si="37"/>
        <v>0.50971108591782832</v>
      </c>
      <c r="W216">
        <f t="shared" ca="1" si="41"/>
        <v>0.54571153331471922</v>
      </c>
      <c r="X216">
        <f t="shared" ca="1" si="42"/>
        <v>108.54705372398756</v>
      </c>
    </row>
    <row r="217" spans="1:24" x14ac:dyDescent="0.25">
      <c r="A217">
        <f t="shared" ca="1" si="33"/>
        <v>105.71703442769035</v>
      </c>
      <c r="N217">
        <f t="shared" si="38"/>
        <v>0.85416666666666485</v>
      </c>
      <c r="O217" cm="1">
        <f t="array" aca="1" ref="O217" ca="1">mu*dt_1*R216</f>
        <v>3.5045922174026717E-2</v>
      </c>
      <c r="P217">
        <f t="shared" ca="1" si="34"/>
        <v>0.54422198343616501</v>
      </c>
      <c r="Q217">
        <f t="shared" ca="1" si="39"/>
        <v>0.5792679056101917</v>
      </c>
      <c r="R217">
        <f t="shared" ca="1" si="40"/>
        <v>105.71703442769035</v>
      </c>
      <c r="T217">
        <f t="shared" si="35"/>
        <v>0.85416666666666485</v>
      </c>
      <c r="U217">
        <f t="shared" ca="1" si="36"/>
        <v>3.6182351241329187E-2</v>
      </c>
      <c r="V217">
        <f t="shared" ca="1" si="37"/>
        <v>1.2267828282544124</v>
      </c>
      <c r="W217">
        <f t="shared" ca="1" si="41"/>
        <v>1.2629651794957417</v>
      </c>
      <c r="X217">
        <f t="shared" ca="1" si="42"/>
        <v>109.8100189034833</v>
      </c>
    </row>
    <row r="218" spans="1:24" x14ac:dyDescent="0.25">
      <c r="A218">
        <f t="shared" ca="1" si="33"/>
        <v>106.59891459116183</v>
      </c>
      <c r="N218">
        <f t="shared" si="38"/>
        <v>0.85833333333333151</v>
      </c>
      <c r="O218" cm="1">
        <f t="array" aca="1" ref="O218" ca="1">mu*dt_1*R217</f>
        <v>3.5239011475896781E-2</v>
      </c>
      <c r="P218">
        <f t="shared" ca="1" si="34"/>
        <v>0.84664115199558287</v>
      </c>
      <c r="Q218">
        <f t="shared" ca="1" si="39"/>
        <v>0.88188016347147968</v>
      </c>
      <c r="R218">
        <f t="shared" ca="1" si="40"/>
        <v>106.59891459116183</v>
      </c>
      <c r="T218">
        <f t="shared" si="35"/>
        <v>0.85833333333333151</v>
      </c>
      <c r="U218">
        <f t="shared" ca="1" si="36"/>
        <v>3.6603339634494435E-2</v>
      </c>
      <c r="V218">
        <f t="shared" ca="1" si="37"/>
        <v>-2.4676340099224849</v>
      </c>
      <c r="W218">
        <f t="shared" ca="1" si="41"/>
        <v>-2.4310306702879907</v>
      </c>
      <c r="X218">
        <f t="shared" ca="1" si="42"/>
        <v>107.3789882331953</v>
      </c>
    </row>
    <row r="219" spans="1:24" x14ac:dyDescent="0.25">
      <c r="A219">
        <f t="shared" ca="1" si="33"/>
        <v>106.21479691795767</v>
      </c>
      <c r="N219">
        <f t="shared" si="38"/>
        <v>0.86249999999999816</v>
      </c>
      <c r="O219" cm="1">
        <f t="array" aca="1" ref="O219" ca="1">mu*dt_1*R218</f>
        <v>3.5532971530387272E-2</v>
      </c>
      <c r="P219">
        <f t="shared" ca="1" si="34"/>
        <v>0.21788410780224129</v>
      </c>
      <c r="Q219">
        <f t="shared" ca="1" si="39"/>
        <v>0.25341707933262858</v>
      </c>
      <c r="R219">
        <f t="shared" ca="1" si="40"/>
        <v>106.85233167049446</v>
      </c>
      <c r="T219">
        <f t="shared" si="35"/>
        <v>0.86249999999999816</v>
      </c>
      <c r="U219">
        <f t="shared" ca="1" si="36"/>
        <v>3.5792996077731766E-2</v>
      </c>
      <c r="V219">
        <f t="shared" ca="1" si="37"/>
        <v>-1.1999843113153674</v>
      </c>
      <c r="W219">
        <f t="shared" ca="1" si="41"/>
        <v>-1.1641913152376357</v>
      </c>
      <c r="X219">
        <f t="shared" ca="1" si="42"/>
        <v>106.21479691795767</v>
      </c>
    </row>
    <row r="220" spans="1:24" x14ac:dyDescent="0.25">
      <c r="A220">
        <f t="shared" ca="1" si="33"/>
        <v>107.08025315481767</v>
      </c>
      <c r="N220">
        <f t="shared" si="38"/>
        <v>0.86666666666666481</v>
      </c>
      <c r="O220" cm="1">
        <f t="array" aca="1" ref="O220" ca="1">mu*dt_1*R219</f>
        <v>3.5617443890164822E-2</v>
      </c>
      <c r="P220">
        <f t="shared" ca="1" si="34"/>
        <v>0.19230404043303778</v>
      </c>
      <c r="Q220">
        <f t="shared" ca="1" si="39"/>
        <v>0.22792148432320261</v>
      </c>
      <c r="R220">
        <f t="shared" ca="1" si="40"/>
        <v>107.08025315481767</v>
      </c>
      <c r="T220">
        <f t="shared" si="35"/>
        <v>0.86666666666666481</v>
      </c>
      <c r="U220">
        <f t="shared" ca="1" si="36"/>
        <v>3.5404932305985889E-2</v>
      </c>
      <c r="V220">
        <f t="shared" ca="1" si="37"/>
        <v>1.2825382856473799</v>
      </c>
      <c r="W220">
        <f t="shared" ca="1" si="41"/>
        <v>1.3179432179533659</v>
      </c>
      <c r="X220">
        <f t="shared" ca="1" si="42"/>
        <v>107.53274013591104</v>
      </c>
    </row>
    <row r="221" spans="1:24" x14ac:dyDescent="0.25">
      <c r="A221">
        <f t="shared" ca="1" si="33"/>
        <v>106.9025544870985</v>
      </c>
      <c r="N221">
        <f t="shared" si="38"/>
        <v>0.87083333333333146</v>
      </c>
      <c r="O221" cm="1">
        <f t="array" aca="1" ref="O221" ca="1">mu*dt_1*R220</f>
        <v>3.5693417718272558E-2</v>
      </c>
      <c r="P221">
        <f t="shared" ca="1" si="34"/>
        <v>1.23799117027292</v>
      </c>
      <c r="Q221">
        <f t="shared" ca="1" si="39"/>
        <v>1.2736845879911927</v>
      </c>
      <c r="R221">
        <f t="shared" ca="1" si="40"/>
        <v>108.35393774280887</v>
      </c>
      <c r="T221">
        <f t="shared" si="35"/>
        <v>0.87083333333333146</v>
      </c>
      <c r="U221">
        <f t="shared" ca="1" si="36"/>
        <v>3.5844246711970354E-2</v>
      </c>
      <c r="V221">
        <f t="shared" ca="1" si="37"/>
        <v>-0.66602989552451586</v>
      </c>
      <c r="W221">
        <f t="shared" ca="1" si="41"/>
        <v>-0.63018564881254546</v>
      </c>
      <c r="X221">
        <f t="shared" ca="1" si="42"/>
        <v>106.9025544870985</v>
      </c>
    </row>
    <row r="222" spans="1:24" x14ac:dyDescent="0.25">
      <c r="A222">
        <f t="shared" ca="1" si="33"/>
        <v>107.58889412635232</v>
      </c>
      <c r="N222">
        <f t="shared" si="38"/>
        <v>0.87499999999999811</v>
      </c>
      <c r="O222" cm="1">
        <f t="array" aca="1" ref="O222" ca="1">mu*dt_1*R221</f>
        <v>3.6117979247602953E-2</v>
      </c>
      <c r="P222">
        <f t="shared" ca="1" si="34"/>
        <v>-0.4701633120987882</v>
      </c>
      <c r="Q222">
        <f t="shared" ca="1" si="39"/>
        <v>-0.43404533285118524</v>
      </c>
      <c r="R222">
        <f t="shared" ca="1" si="40"/>
        <v>107.91989240995768</v>
      </c>
      <c r="T222">
        <f t="shared" si="35"/>
        <v>0.87499999999999811</v>
      </c>
      <c r="U222">
        <f t="shared" ca="1" si="36"/>
        <v>3.5634184829032835E-2</v>
      </c>
      <c r="V222">
        <f t="shared" ca="1" si="37"/>
        <v>0.65070545442478833</v>
      </c>
      <c r="W222">
        <f t="shared" ca="1" si="41"/>
        <v>0.68633963925382113</v>
      </c>
      <c r="X222">
        <f t="shared" ca="1" si="42"/>
        <v>107.58889412635232</v>
      </c>
    </row>
    <row r="223" spans="1:24" x14ac:dyDescent="0.25">
      <c r="A223">
        <f t="shared" ca="1" si="33"/>
        <v>107.2145939774786</v>
      </c>
      <c r="N223">
        <f t="shared" si="38"/>
        <v>0.87916666666666476</v>
      </c>
      <c r="O223" cm="1">
        <f t="array" aca="1" ref="O223" ca="1">mu*dt_1*R222</f>
        <v>3.5973297469985892E-2</v>
      </c>
      <c r="P223">
        <f t="shared" ca="1" si="34"/>
        <v>-0.7412717299490712</v>
      </c>
      <c r="Q223">
        <f t="shared" ca="1" si="39"/>
        <v>-0.7052984324790853</v>
      </c>
      <c r="R223">
        <f t="shared" ca="1" si="40"/>
        <v>107.2145939774786</v>
      </c>
      <c r="T223">
        <f t="shared" si="35"/>
        <v>0.87916666666666476</v>
      </c>
      <c r="U223">
        <f t="shared" ca="1" si="36"/>
        <v>3.5862964708784105E-2</v>
      </c>
      <c r="V223">
        <f t="shared" ca="1" si="37"/>
        <v>0.63732898594544862</v>
      </c>
      <c r="W223">
        <f t="shared" ca="1" si="41"/>
        <v>0.67319195065423276</v>
      </c>
      <c r="X223">
        <f t="shared" ca="1" si="42"/>
        <v>108.26208607700654</v>
      </c>
    </row>
    <row r="224" spans="1:24" x14ac:dyDescent="0.25">
      <c r="A224">
        <f t="shared" ca="1" si="33"/>
        <v>104.68059462145041</v>
      </c>
      <c r="N224">
        <f t="shared" si="38"/>
        <v>0.88333333333333142</v>
      </c>
      <c r="O224" cm="1">
        <f t="array" aca="1" ref="O224" ca="1">mu*dt_1*R223</f>
        <v>3.5738197992492865E-2</v>
      </c>
      <c r="P224">
        <f t="shared" ca="1" si="34"/>
        <v>3.072037038880076</v>
      </c>
      <c r="Q224">
        <f t="shared" ca="1" si="39"/>
        <v>3.1077752368725688</v>
      </c>
      <c r="R224">
        <f t="shared" ca="1" si="40"/>
        <v>110.32236921435117</v>
      </c>
      <c r="T224">
        <f t="shared" si="35"/>
        <v>0.88333333333333142</v>
      </c>
      <c r="U224">
        <f t="shared" ca="1" si="36"/>
        <v>3.6087362025668847E-2</v>
      </c>
      <c r="V224">
        <f t="shared" ca="1" si="37"/>
        <v>-3.6175788175818071</v>
      </c>
      <c r="W224">
        <f t="shared" ca="1" si="41"/>
        <v>-3.5814914555561383</v>
      </c>
      <c r="X224">
        <f t="shared" ca="1" si="42"/>
        <v>104.68059462145041</v>
      </c>
    </row>
    <row r="225" spans="1:24" x14ac:dyDescent="0.25">
      <c r="A225">
        <f t="shared" ca="1" si="33"/>
        <v>106.89020721649763</v>
      </c>
      <c r="N225">
        <f t="shared" si="38"/>
        <v>0.88749999999999807</v>
      </c>
      <c r="O225" cm="1">
        <f t="array" aca="1" ref="O225" ca="1">mu*dt_1*R224</f>
        <v>3.6774123071450386E-2</v>
      </c>
      <c r="P225">
        <f t="shared" ca="1" si="34"/>
        <v>0.50995408516172802</v>
      </c>
      <c r="Q225">
        <f t="shared" ca="1" si="39"/>
        <v>0.54672820823317836</v>
      </c>
      <c r="R225">
        <f t="shared" ca="1" si="40"/>
        <v>110.86909742258435</v>
      </c>
      <c r="T225">
        <f t="shared" si="35"/>
        <v>0.88749999999999807</v>
      </c>
      <c r="U225">
        <f t="shared" ca="1" si="36"/>
        <v>3.4893531540483469E-2</v>
      </c>
      <c r="V225">
        <f t="shared" ca="1" si="37"/>
        <v>2.1747190635067293</v>
      </c>
      <c r="W225">
        <f t="shared" ca="1" si="41"/>
        <v>2.2096125950472127</v>
      </c>
      <c r="X225">
        <f t="shared" ca="1" si="42"/>
        <v>106.89020721649763</v>
      </c>
    </row>
    <row r="226" spans="1:24" x14ac:dyDescent="0.25">
      <c r="A226">
        <f t="shared" ca="1" si="33"/>
        <v>105.85209782376324</v>
      </c>
      <c r="N226">
        <f t="shared" si="38"/>
        <v>0.89166666666666472</v>
      </c>
      <c r="O226" cm="1">
        <f t="array" aca="1" ref="O226" ca="1">mu*dt_1*R225</f>
        <v>3.6956365807528112E-2</v>
      </c>
      <c r="P226">
        <f t="shared" ca="1" si="34"/>
        <v>-0.39132239646512218</v>
      </c>
      <c r="Q226">
        <f t="shared" ca="1" si="39"/>
        <v>-0.35436603065759409</v>
      </c>
      <c r="R226">
        <f t="shared" ca="1" si="40"/>
        <v>110.51473139192676</v>
      </c>
      <c r="T226">
        <f t="shared" si="35"/>
        <v>0.89166666666666472</v>
      </c>
      <c r="U226">
        <f t="shared" ca="1" si="36"/>
        <v>3.5630069072165871E-2</v>
      </c>
      <c r="V226">
        <f t="shared" ca="1" si="37"/>
        <v>-1.0737394618065519</v>
      </c>
      <c r="W226">
        <f t="shared" ca="1" si="41"/>
        <v>-1.0381093927343861</v>
      </c>
      <c r="X226">
        <f t="shared" ca="1" si="42"/>
        <v>105.85209782376324</v>
      </c>
    </row>
    <row r="227" spans="1:24" x14ac:dyDescent="0.25">
      <c r="A227">
        <f t="shared" ca="1" si="33"/>
        <v>107.77968349998399</v>
      </c>
      <c r="N227">
        <f t="shared" si="38"/>
        <v>0.89583333333333137</v>
      </c>
      <c r="O227" cm="1">
        <f t="array" aca="1" ref="O227" ca="1">mu*dt_1*R226</f>
        <v>3.683824379730892E-2</v>
      </c>
      <c r="P227">
        <f t="shared" ca="1" si="34"/>
        <v>-0.8612538349979455</v>
      </c>
      <c r="Q227">
        <f t="shared" ca="1" si="39"/>
        <v>-0.82441559120063657</v>
      </c>
      <c r="R227">
        <f t="shared" ca="1" si="40"/>
        <v>109.69031580072613</v>
      </c>
      <c r="T227">
        <f t="shared" si="35"/>
        <v>0.89583333333333137</v>
      </c>
      <c r="U227">
        <f t="shared" ca="1" si="36"/>
        <v>3.5284032607921081E-2</v>
      </c>
      <c r="V227">
        <f t="shared" ca="1" si="37"/>
        <v>1.8923016436128255</v>
      </c>
      <c r="W227">
        <f t="shared" ca="1" si="41"/>
        <v>1.9275856762207466</v>
      </c>
      <c r="X227">
        <f t="shared" ca="1" si="42"/>
        <v>107.77968349998399</v>
      </c>
    </row>
    <row r="228" spans="1:24" x14ac:dyDescent="0.25">
      <c r="A228">
        <f t="shared" ca="1" si="33"/>
        <v>108.63509355461731</v>
      </c>
      <c r="N228">
        <f t="shared" si="38"/>
        <v>0.89999999999999802</v>
      </c>
      <c r="O228" cm="1">
        <f t="array" aca="1" ref="O228" ca="1">mu*dt_1*R227</f>
        <v>3.656343860024204E-2</v>
      </c>
      <c r="P228">
        <f t="shared" ca="1" si="34"/>
        <v>-1.9252816816822029E-2</v>
      </c>
      <c r="Q228">
        <f t="shared" ca="1" si="39"/>
        <v>1.7310621783420011E-2</v>
      </c>
      <c r="R228">
        <f t="shared" ca="1" si="40"/>
        <v>109.70762642250955</v>
      </c>
      <c r="T228">
        <f t="shared" si="35"/>
        <v>0.89999999999999802</v>
      </c>
      <c r="U228">
        <f t="shared" ca="1" si="36"/>
        <v>3.5926561166661333E-2</v>
      </c>
      <c r="V228">
        <f t="shared" ca="1" si="37"/>
        <v>0.81948349346665994</v>
      </c>
      <c r="W228">
        <f t="shared" ca="1" si="41"/>
        <v>0.85541005463332132</v>
      </c>
      <c r="X228">
        <f t="shared" ca="1" si="42"/>
        <v>108.63509355461731</v>
      </c>
    </row>
    <row r="229" spans="1:24" x14ac:dyDescent="0.25">
      <c r="A229">
        <f t="shared" ca="1" si="33"/>
        <v>107.82818160426073</v>
      </c>
      <c r="N229">
        <f t="shared" si="38"/>
        <v>0.90416666666666468</v>
      </c>
      <c r="O229" cm="1">
        <f t="array" aca="1" ref="O229" ca="1">mu*dt_1*R228</f>
        <v>3.6569208807503181E-2</v>
      </c>
      <c r="P229">
        <f t="shared" ca="1" si="34"/>
        <v>-0.43038626805438807</v>
      </c>
      <c r="Q229">
        <f t="shared" ca="1" si="39"/>
        <v>-0.39381705924688487</v>
      </c>
      <c r="R229">
        <f t="shared" ca="1" si="40"/>
        <v>109.31380936326266</v>
      </c>
      <c r="T229">
        <f t="shared" si="35"/>
        <v>0.90416666666666468</v>
      </c>
      <c r="U229">
        <f t="shared" ca="1" si="36"/>
        <v>3.6211697851539104E-2</v>
      </c>
      <c r="V229">
        <f t="shared" ca="1" si="37"/>
        <v>-0.84312364820811625</v>
      </c>
      <c r="W229">
        <f t="shared" ca="1" si="41"/>
        <v>-0.80691195035657715</v>
      </c>
      <c r="X229">
        <f t="shared" ca="1" si="42"/>
        <v>107.82818160426073</v>
      </c>
    </row>
    <row r="230" spans="1:24" x14ac:dyDescent="0.25">
      <c r="A230">
        <f t="shared" ca="1" si="33"/>
        <v>107.84539720051336</v>
      </c>
      <c r="N230">
        <f t="shared" si="38"/>
        <v>0.90833333333333133</v>
      </c>
      <c r="O230" cm="1">
        <f t="array" aca="1" ref="O230" ca="1">mu*dt_1*R229</f>
        <v>3.6437936454420887E-2</v>
      </c>
      <c r="P230">
        <f t="shared" ca="1" si="34"/>
        <v>0.15947324060499238</v>
      </c>
      <c r="Q230">
        <f t="shared" ca="1" si="39"/>
        <v>0.19591117705941327</v>
      </c>
      <c r="R230">
        <f t="shared" ca="1" si="40"/>
        <v>109.50972054032208</v>
      </c>
      <c r="T230">
        <f t="shared" si="35"/>
        <v>0.90833333333333133</v>
      </c>
      <c r="U230">
        <f t="shared" ca="1" si="36"/>
        <v>3.5942727201420242E-2</v>
      </c>
      <c r="V230">
        <f t="shared" ca="1" si="37"/>
        <v>-1.8727130948794291E-2</v>
      </c>
      <c r="W230">
        <f t="shared" ca="1" si="41"/>
        <v>1.7215596252625951E-2</v>
      </c>
      <c r="X230">
        <f t="shared" ca="1" si="42"/>
        <v>107.84539720051336</v>
      </c>
    </row>
    <row r="231" spans="1:24" x14ac:dyDescent="0.25">
      <c r="A231">
        <f t="shared" ca="1" si="33"/>
        <v>107.08721571767508</v>
      </c>
      <c r="N231">
        <f t="shared" si="38"/>
        <v>0.91249999999999798</v>
      </c>
      <c r="O231" cm="1">
        <f t="array" aca="1" ref="O231" ca="1">mu*dt_1*R230</f>
        <v>3.6503240180107359E-2</v>
      </c>
      <c r="P231">
        <f t="shared" ca="1" si="34"/>
        <v>0.61011461483775842</v>
      </c>
      <c r="Q231">
        <f t="shared" ca="1" si="39"/>
        <v>0.64661785501786573</v>
      </c>
      <c r="R231">
        <f t="shared" ca="1" si="40"/>
        <v>110.15633839533994</v>
      </c>
      <c r="T231">
        <f t="shared" si="35"/>
        <v>0.91249999999999798</v>
      </c>
      <c r="U231">
        <f t="shared" ca="1" si="36"/>
        <v>3.5948465733504451E-2</v>
      </c>
      <c r="V231">
        <f t="shared" ca="1" si="37"/>
        <v>-0.79412994857178287</v>
      </c>
      <c r="W231">
        <f t="shared" ca="1" si="41"/>
        <v>-0.75818148283827846</v>
      </c>
      <c r="X231">
        <f t="shared" ca="1" si="42"/>
        <v>107.08721571767508</v>
      </c>
    </row>
    <row r="232" spans="1:24" x14ac:dyDescent="0.25">
      <c r="A232">
        <f t="shared" ca="1" si="33"/>
        <v>105.74141822882511</v>
      </c>
      <c r="N232">
        <f t="shared" si="38"/>
        <v>0.91666666666666463</v>
      </c>
      <c r="O232" cm="1">
        <f t="array" aca="1" ref="O232" ca="1">mu*dt_1*R231</f>
        <v>3.6718779465113316E-2</v>
      </c>
      <c r="P232">
        <f t="shared" ca="1" si="34"/>
        <v>0.57411496075521651</v>
      </c>
      <c r="Q232">
        <f t="shared" ca="1" si="39"/>
        <v>0.61083374022032988</v>
      </c>
      <c r="R232">
        <f t="shared" ca="1" si="40"/>
        <v>110.76717213556027</v>
      </c>
      <c r="T232">
        <f t="shared" si="35"/>
        <v>0.91666666666666463</v>
      </c>
      <c r="U232">
        <f t="shared" ca="1" si="36"/>
        <v>3.569573857255836E-2</v>
      </c>
      <c r="V232">
        <f t="shared" ca="1" si="37"/>
        <v>-1.381493227422526</v>
      </c>
      <c r="W232">
        <f t="shared" ca="1" si="41"/>
        <v>-1.3457974888499677</v>
      </c>
      <c r="X232">
        <f t="shared" ca="1" si="42"/>
        <v>105.74141822882511</v>
      </c>
    </row>
    <row r="233" spans="1:24" x14ac:dyDescent="0.25">
      <c r="A233">
        <f t="shared" ca="1" si="33"/>
        <v>107.35049467148725</v>
      </c>
      <c r="N233">
        <f t="shared" si="38"/>
        <v>0.92083333333333128</v>
      </c>
      <c r="O233" cm="1">
        <f t="array" aca="1" ref="O233" ca="1">mu*dt_1*R232</f>
        <v>3.6922390711853423E-2</v>
      </c>
      <c r="P233">
        <f t="shared" ca="1" si="34"/>
        <v>-9.8467576293538653E-2</v>
      </c>
      <c r="Q233">
        <f t="shared" ca="1" si="39"/>
        <v>-6.154518558168523E-2</v>
      </c>
      <c r="R233">
        <f t="shared" ca="1" si="40"/>
        <v>110.70562694997859</v>
      </c>
      <c r="T233">
        <f t="shared" si="35"/>
        <v>0.92083333333333128</v>
      </c>
      <c r="U233">
        <f t="shared" ca="1" si="36"/>
        <v>3.5247139409608372E-2</v>
      </c>
      <c r="V233">
        <f t="shared" ca="1" si="37"/>
        <v>1.5738293032525321</v>
      </c>
      <c r="W233">
        <f t="shared" ca="1" si="41"/>
        <v>1.6090764426621404</v>
      </c>
      <c r="X233">
        <f t="shared" ca="1" si="42"/>
        <v>107.35049467148725</v>
      </c>
    </row>
    <row r="234" spans="1:24" x14ac:dyDescent="0.25">
      <c r="A234">
        <f t="shared" ca="1" si="33"/>
        <v>106.66483496049281</v>
      </c>
      <c r="N234">
        <f t="shared" si="38"/>
        <v>0.92499999999999793</v>
      </c>
      <c r="O234" cm="1">
        <f t="array" aca="1" ref="O234" ca="1">mu*dt_1*R233</f>
        <v>3.6901875649992866E-2</v>
      </c>
      <c r="P234">
        <f t="shared" ca="1" si="34"/>
        <v>-0.49756217713407641</v>
      </c>
      <c r="Q234">
        <f t="shared" ca="1" si="39"/>
        <v>-0.46066030148408355</v>
      </c>
      <c r="R234">
        <f t="shared" ca="1" si="40"/>
        <v>110.24496664849451</v>
      </c>
      <c r="T234">
        <f t="shared" si="35"/>
        <v>0.92499999999999793</v>
      </c>
      <c r="U234">
        <f t="shared" ca="1" si="36"/>
        <v>3.5783498223829084E-2</v>
      </c>
      <c r="V234">
        <f t="shared" ca="1" si="37"/>
        <v>-0.72144320921827776</v>
      </c>
      <c r="W234">
        <f t="shared" ca="1" si="41"/>
        <v>-0.68565971099444867</v>
      </c>
      <c r="X234">
        <f t="shared" ca="1" si="42"/>
        <v>106.66483496049281</v>
      </c>
    </row>
    <row r="235" spans="1:24" x14ac:dyDescent="0.25">
      <c r="A235">
        <f t="shared" ca="1" si="33"/>
        <v>107.2480070865401</v>
      </c>
      <c r="N235">
        <f t="shared" si="38"/>
        <v>0.92916666666666459</v>
      </c>
      <c r="O235" cm="1">
        <f t="array" aca="1" ref="O235" ca="1">mu*dt_1*R234</f>
        <v>3.6748322216164836E-2</v>
      </c>
      <c r="P235">
        <f t="shared" ca="1" si="34"/>
        <v>1.8643879459295016</v>
      </c>
      <c r="Q235">
        <f t="shared" ca="1" si="39"/>
        <v>1.9011362681456665</v>
      </c>
      <c r="R235">
        <f t="shared" ca="1" si="40"/>
        <v>112.14610291664017</v>
      </c>
      <c r="T235">
        <f t="shared" si="35"/>
        <v>0.92916666666666459</v>
      </c>
      <c r="U235">
        <f t="shared" ca="1" si="36"/>
        <v>3.5554944986830941E-2</v>
      </c>
      <c r="V235">
        <f t="shared" ca="1" si="37"/>
        <v>0.54761718106045232</v>
      </c>
      <c r="W235">
        <f t="shared" ca="1" si="41"/>
        <v>0.5831721260472833</v>
      </c>
      <c r="X235">
        <f t="shared" ca="1" si="42"/>
        <v>107.2480070865401</v>
      </c>
    </row>
    <row r="236" spans="1:24" x14ac:dyDescent="0.25">
      <c r="A236">
        <f t="shared" ca="1" si="33"/>
        <v>109.18680676486952</v>
      </c>
      <c r="N236">
        <f t="shared" si="38"/>
        <v>0.93333333333333124</v>
      </c>
      <c r="O236" cm="1">
        <f t="array" aca="1" ref="O236" ca="1">mu*dt_1*R235</f>
        <v>3.7382034305546721E-2</v>
      </c>
      <c r="P236">
        <f t="shared" ca="1" si="34"/>
        <v>-1.6291506873925894</v>
      </c>
      <c r="Q236">
        <f t="shared" ca="1" si="39"/>
        <v>-1.5917686530870427</v>
      </c>
      <c r="R236">
        <f t="shared" ca="1" si="40"/>
        <v>110.55433426355313</v>
      </c>
      <c r="T236">
        <f t="shared" si="35"/>
        <v>0.93333333333333124</v>
      </c>
      <c r="U236">
        <f t="shared" ca="1" si="36"/>
        <v>3.5749335695513362E-2</v>
      </c>
      <c r="V236">
        <f t="shared" ca="1" si="37"/>
        <v>1.9030503426339056</v>
      </c>
      <c r="W236">
        <f t="shared" ca="1" si="41"/>
        <v>1.938799678329419</v>
      </c>
      <c r="X236">
        <f t="shared" ca="1" si="42"/>
        <v>109.18680676486952</v>
      </c>
    </row>
    <row r="237" spans="1:24" x14ac:dyDescent="0.25">
      <c r="A237">
        <f t="shared" ca="1" si="33"/>
        <v>108.22298029563562</v>
      </c>
      <c r="N237">
        <f t="shared" si="38"/>
        <v>0.93749999999999789</v>
      </c>
      <c r="O237" cm="1">
        <f t="array" aca="1" ref="O237" ca="1">mu*dt_1*R236</f>
        <v>3.6851444754517709E-2</v>
      </c>
      <c r="P237">
        <f t="shared" ca="1" si="34"/>
        <v>-2.3682054126720198</v>
      </c>
      <c r="Q237">
        <f t="shared" ca="1" si="39"/>
        <v>-2.3313539679175022</v>
      </c>
      <c r="R237">
        <f t="shared" ca="1" si="40"/>
        <v>108.22298029563562</v>
      </c>
      <c r="T237">
        <f t="shared" si="35"/>
        <v>0.93749999999999789</v>
      </c>
      <c r="U237">
        <f t="shared" ca="1" si="36"/>
        <v>3.6395602254956506E-2</v>
      </c>
      <c r="V237">
        <f t="shared" ca="1" si="37"/>
        <v>2.0022044477639347</v>
      </c>
      <c r="W237">
        <f t="shared" ca="1" si="41"/>
        <v>2.038600050018891</v>
      </c>
      <c r="X237">
        <f t="shared" ca="1" si="42"/>
        <v>111.2254068148884</v>
      </c>
    </row>
    <row r="238" spans="1:24" x14ac:dyDescent="0.25">
      <c r="A238">
        <f t="shared" ca="1" si="33"/>
        <v>105.9037020759193</v>
      </c>
      <c r="N238">
        <f t="shared" si="38"/>
        <v>0.94166666666666454</v>
      </c>
      <c r="O238" cm="1">
        <f t="array" aca="1" ref="O238" ca="1">mu*dt_1*R237</f>
        <v>3.607432676521187E-2</v>
      </c>
      <c r="P238">
        <f t="shared" ca="1" si="34"/>
        <v>-2.3553525464815426</v>
      </c>
      <c r="Q238">
        <f t="shared" ca="1" si="39"/>
        <v>-2.3192782197163306</v>
      </c>
      <c r="R238">
        <f t="shared" ca="1" si="40"/>
        <v>105.9037020759193</v>
      </c>
      <c r="T238">
        <f t="shared" si="35"/>
        <v>0.94166666666666454</v>
      </c>
      <c r="U238">
        <f t="shared" ca="1" si="36"/>
        <v>3.7075135604962797E-2</v>
      </c>
      <c r="V238">
        <f t="shared" ca="1" si="37"/>
        <v>0.54716529551254356</v>
      </c>
      <c r="W238">
        <f t="shared" ca="1" si="41"/>
        <v>0.58424043111750634</v>
      </c>
      <c r="X238">
        <f t="shared" ca="1" si="42"/>
        <v>111.80964724600591</v>
      </c>
    </row>
    <row r="239" spans="1:24" x14ac:dyDescent="0.25">
      <c r="A239">
        <f t="shared" ca="1" si="33"/>
        <v>105.91750920332402</v>
      </c>
      <c r="N239">
        <f t="shared" si="38"/>
        <v>0.94583333333333119</v>
      </c>
      <c r="O239" cm="1">
        <f t="array" aca="1" ref="O239" ca="1">mu*dt_1*R238</f>
        <v>3.5301234025306431E-2</v>
      </c>
      <c r="P239">
        <f t="shared" ca="1" si="34"/>
        <v>-2.1494106620583646E-2</v>
      </c>
      <c r="Q239">
        <f t="shared" ca="1" si="39"/>
        <v>1.3807127404722785E-2</v>
      </c>
      <c r="R239">
        <f t="shared" ca="1" si="40"/>
        <v>105.91750920332402</v>
      </c>
      <c r="T239">
        <f t="shared" si="35"/>
        <v>0.94583333333333119</v>
      </c>
      <c r="U239">
        <f t="shared" ca="1" si="36"/>
        <v>3.7269882415335298E-2</v>
      </c>
      <c r="V239">
        <f t="shared" ca="1" si="37"/>
        <v>-0.9522767578103799</v>
      </c>
      <c r="W239">
        <f t="shared" ca="1" si="41"/>
        <v>-0.91500687539504466</v>
      </c>
      <c r="X239">
        <f t="shared" ca="1" si="42"/>
        <v>110.89464037061086</v>
      </c>
    </row>
    <row r="240" spans="1:24" x14ac:dyDescent="0.25">
      <c r="A240">
        <f t="shared" ca="1" si="33"/>
        <v>106.74732550015457</v>
      </c>
      <c r="N240">
        <f t="shared" si="38"/>
        <v>0.94999999999999785</v>
      </c>
      <c r="O240" cm="1">
        <f t="array" aca="1" ref="O240" ca="1">mu*dt_1*R239</f>
        <v>3.5305836401108001E-2</v>
      </c>
      <c r="P240">
        <f t="shared" ca="1" si="34"/>
        <v>0.79451046042945039</v>
      </c>
      <c r="Q240">
        <f t="shared" ca="1" si="39"/>
        <v>0.82981629683055835</v>
      </c>
      <c r="R240">
        <f t="shared" ca="1" si="40"/>
        <v>106.74732550015457</v>
      </c>
      <c r="T240">
        <f t="shared" si="35"/>
        <v>0.94999999999999785</v>
      </c>
      <c r="U240">
        <f t="shared" ca="1" si="36"/>
        <v>3.696488012353695E-2</v>
      </c>
      <c r="V240">
        <f t="shared" ca="1" si="37"/>
        <v>-1.2775890412878923</v>
      </c>
      <c r="W240">
        <f t="shared" ca="1" si="41"/>
        <v>-1.2406241611643554</v>
      </c>
      <c r="X240">
        <f t="shared" ca="1" si="42"/>
        <v>109.6540162094465</v>
      </c>
    </row>
    <row r="241" spans="1:24" x14ac:dyDescent="0.25">
      <c r="A241">
        <f t="shared" ca="1" si="33"/>
        <v>107.70074708922229</v>
      </c>
      <c r="N241">
        <f t="shared" si="38"/>
        <v>0.9541666666666645</v>
      </c>
      <c r="O241" cm="1">
        <f t="array" aca="1" ref="O241" ca="1">mu*dt_1*R240</f>
        <v>3.5582441833384854E-2</v>
      </c>
      <c r="P241">
        <f t="shared" ca="1" si="34"/>
        <v>0.91783914723433702</v>
      </c>
      <c r="Q241">
        <f t="shared" ca="1" si="39"/>
        <v>0.9534215890677219</v>
      </c>
      <c r="R241">
        <f t="shared" ca="1" si="40"/>
        <v>107.70074708922229</v>
      </c>
      <c r="T241">
        <f t="shared" si="35"/>
        <v>0.9541666666666645</v>
      </c>
      <c r="U241">
        <f t="shared" ca="1" si="36"/>
        <v>3.655133873648217E-2</v>
      </c>
      <c r="V241">
        <f t="shared" ca="1" si="37"/>
        <v>1.7046958919295476</v>
      </c>
      <c r="W241">
        <f t="shared" ca="1" si="41"/>
        <v>1.7412472306660298</v>
      </c>
      <c r="X241">
        <f t="shared" ca="1" si="42"/>
        <v>111.39526344011253</v>
      </c>
    </row>
    <row r="242" spans="1:24" x14ac:dyDescent="0.25">
      <c r="A242">
        <f t="shared" ca="1" si="33"/>
        <v>105.7486481257118</v>
      </c>
      <c r="N242">
        <f t="shared" si="38"/>
        <v>0.95833333333333115</v>
      </c>
      <c r="O242" cm="1">
        <f t="array" aca="1" ref="O242" ca="1">mu*dt_1*R241</f>
        <v>3.5900249029740761E-2</v>
      </c>
      <c r="P242">
        <f t="shared" ca="1" si="34"/>
        <v>-1.9879992125402306</v>
      </c>
      <c r="Q242">
        <f t="shared" ca="1" si="39"/>
        <v>-1.9520989635104899</v>
      </c>
      <c r="R242">
        <f t="shared" ca="1" si="40"/>
        <v>105.7486481257118</v>
      </c>
      <c r="T242">
        <f t="shared" si="35"/>
        <v>0.95833333333333115</v>
      </c>
      <c r="U242">
        <f t="shared" ca="1" si="36"/>
        <v>3.7131754480037506E-2</v>
      </c>
      <c r="V242">
        <f t="shared" ca="1" si="37"/>
        <v>1.4257364672846753</v>
      </c>
      <c r="W242">
        <f t="shared" ca="1" si="41"/>
        <v>1.4628682217647129</v>
      </c>
      <c r="X242">
        <f t="shared" ca="1" si="42"/>
        <v>112.85813166187724</v>
      </c>
    </row>
    <row r="243" spans="1:24" x14ac:dyDescent="0.25">
      <c r="A243">
        <f t="shared" ca="1" si="33"/>
        <v>105.16132598013128</v>
      </c>
      <c r="N243">
        <f t="shared" si="38"/>
        <v>0.9624999999999978</v>
      </c>
      <c r="O243" cm="1">
        <f t="array" aca="1" ref="O243" ca="1">mu*dt_1*R242</f>
        <v>3.5249549375237263E-2</v>
      </c>
      <c r="P243">
        <f t="shared" ca="1" si="34"/>
        <v>-0.62257169495575837</v>
      </c>
      <c r="Q243">
        <f t="shared" ca="1" si="39"/>
        <v>-0.58732214558052109</v>
      </c>
      <c r="R243">
        <f t="shared" ca="1" si="40"/>
        <v>105.16132598013128</v>
      </c>
      <c r="T243">
        <f t="shared" si="35"/>
        <v>0.9624999999999978</v>
      </c>
      <c r="U243">
        <f t="shared" ca="1" si="36"/>
        <v>3.7619377220625742E-2</v>
      </c>
      <c r="V243">
        <f t="shared" ca="1" si="37"/>
        <v>1.4814753712879758</v>
      </c>
      <c r="W243">
        <f t="shared" ca="1" si="41"/>
        <v>1.5190947485086015</v>
      </c>
      <c r="X243">
        <f t="shared" ca="1" si="42"/>
        <v>114.37722641038584</v>
      </c>
    </row>
    <row r="244" spans="1:24" x14ac:dyDescent="0.25">
      <c r="A244">
        <f t="shared" ca="1" si="33"/>
        <v>107.3153256996939</v>
      </c>
      <c r="N244">
        <f t="shared" si="38"/>
        <v>0.96666666666666445</v>
      </c>
      <c r="O244" cm="1">
        <f t="array" aca="1" ref="O244" ca="1">mu*dt_1*R243</f>
        <v>3.5053775326710425E-2</v>
      </c>
      <c r="P244">
        <f t="shared" ca="1" si="34"/>
        <v>2.118945944235906</v>
      </c>
      <c r="Q244">
        <f t="shared" ca="1" si="39"/>
        <v>2.1539997195626164</v>
      </c>
      <c r="R244">
        <f t="shared" ca="1" si="40"/>
        <v>107.3153256996939</v>
      </c>
      <c r="T244">
        <f t="shared" si="35"/>
        <v>0.96666666666666445</v>
      </c>
      <c r="U244">
        <f t="shared" ca="1" si="36"/>
        <v>3.8125742136795288E-2</v>
      </c>
      <c r="V244">
        <f t="shared" ca="1" si="37"/>
        <v>0.40603283790077477</v>
      </c>
      <c r="W244">
        <f t="shared" ca="1" si="41"/>
        <v>0.44415858003757003</v>
      </c>
      <c r="X244">
        <f t="shared" ca="1" si="42"/>
        <v>114.82138499042341</v>
      </c>
    </row>
    <row r="245" spans="1:24" x14ac:dyDescent="0.25">
      <c r="A245">
        <f t="shared" ca="1" si="33"/>
        <v>107.93438588364597</v>
      </c>
      <c r="N245">
        <f t="shared" si="38"/>
        <v>0.97083333333333111</v>
      </c>
      <c r="O245" cm="1">
        <f t="array" aca="1" ref="O245" ca="1">mu*dt_1*R244</f>
        <v>3.5771775233231301E-2</v>
      </c>
      <c r="P245">
        <f t="shared" ca="1" si="34"/>
        <v>0.58328840871884147</v>
      </c>
      <c r="Q245">
        <f t="shared" ca="1" si="39"/>
        <v>0.61906018395207274</v>
      </c>
      <c r="R245">
        <f t="shared" ca="1" si="40"/>
        <v>107.93438588364597</v>
      </c>
      <c r="T245">
        <f t="shared" si="35"/>
        <v>0.97083333333333111</v>
      </c>
      <c r="U245">
        <f t="shared" ca="1" si="36"/>
        <v>3.8273794996807803E-2</v>
      </c>
      <c r="V245">
        <f t="shared" ca="1" si="37"/>
        <v>1.1879060632654077</v>
      </c>
      <c r="W245">
        <f t="shared" ca="1" si="41"/>
        <v>1.2261798582622154</v>
      </c>
      <c r="X245">
        <f t="shared" ca="1" si="42"/>
        <v>116.04756484868562</v>
      </c>
    </row>
    <row r="246" spans="1:24" x14ac:dyDescent="0.25">
      <c r="A246">
        <f t="shared" ca="1" si="33"/>
        <v>105.89688229878409</v>
      </c>
      <c r="N246">
        <f t="shared" si="38"/>
        <v>0.97499999999999776</v>
      </c>
      <c r="O246" cm="1">
        <f t="array" aca="1" ref="O246" ca="1">mu*dt_1*R245</f>
        <v>3.5978128627881988E-2</v>
      </c>
      <c r="P246">
        <f t="shared" ca="1" si="34"/>
        <v>-2.073481713489759</v>
      </c>
      <c r="Q246">
        <f t="shared" ca="1" si="39"/>
        <v>-2.0375035848618768</v>
      </c>
      <c r="R246">
        <f t="shared" ca="1" si="40"/>
        <v>105.89688229878409</v>
      </c>
      <c r="T246">
        <f t="shared" si="35"/>
        <v>0.97499999999999776</v>
      </c>
      <c r="U246">
        <f t="shared" ca="1" si="36"/>
        <v>3.8682521616228545E-2</v>
      </c>
      <c r="V246">
        <f t="shared" ca="1" si="37"/>
        <v>-2.7375676011401961</v>
      </c>
      <c r="W246">
        <f t="shared" ca="1" si="41"/>
        <v>-2.6988850795239676</v>
      </c>
      <c r="X246">
        <f t="shared" ca="1" si="42"/>
        <v>113.34867976916166</v>
      </c>
    </row>
    <row r="247" spans="1:24" x14ac:dyDescent="0.25">
      <c r="A247">
        <f t="shared" ca="1" si="33"/>
        <v>105.25131250958741</v>
      </c>
      <c r="N247">
        <f t="shared" si="38"/>
        <v>0.97916666666666441</v>
      </c>
      <c r="O247" cm="1">
        <f t="array" aca="1" ref="O247" ca="1">mu*dt_1*R246</f>
        <v>3.5298960766261364E-2</v>
      </c>
      <c r="P247">
        <f t="shared" ca="1" si="34"/>
        <v>-0.68086874996295021</v>
      </c>
      <c r="Q247">
        <f t="shared" ca="1" si="39"/>
        <v>-0.64556978919668884</v>
      </c>
      <c r="R247">
        <f t="shared" ca="1" si="40"/>
        <v>105.25131250958741</v>
      </c>
      <c r="T247">
        <f t="shared" si="35"/>
        <v>0.97916666666666441</v>
      </c>
      <c r="U247">
        <f t="shared" ca="1" si="36"/>
        <v>3.7782893256387222E-2</v>
      </c>
      <c r="V247">
        <f t="shared" ca="1" si="37"/>
        <v>-0.94597632805737175</v>
      </c>
      <c r="W247">
        <f t="shared" ca="1" si="41"/>
        <v>-0.90819343480098458</v>
      </c>
      <c r="X247">
        <f t="shared" ca="1" si="42"/>
        <v>112.44048633436068</v>
      </c>
    </row>
    <row r="248" spans="1:24" x14ac:dyDescent="0.25">
      <c r="A248">
        <f t="shared" ca="1" si="33"/>
        <v>103.52309259407504</v>
      </c>
      <c r="N248">
        <f t="shared" si="38"/>
        <v>0.98333333333333106</v>
      </c>
      <c r="O248" cm="1">
        <f t="array" aca="1" ref="O248" ca="1">mu*dt_1*R247</f>
        <v>3.5083770836529138E-2</v>
      </c>
      <c r="P248">
        <f t="shared" ca="1" si="34"/>
        <v>-1.7633036863488951</v>
      </c>
      <c r="Q248">
        <f t="shared" ca="1" si="39"/>
        <v>-1.7282199155123661</v>
      </c>
      <c r="R248">
        <f t="shared" ca="1" si="40"/>
        <v>103.52309259407504</v>
      </c>
      <c r="T248">
        <f t="shared" si="35"/>
        <v>0.98333333333333106</v>
      </c>
      <c r="U248">
        <f t="shared" ca="1" si="36"/>
        <v>3.7480162111453559E-2</v>
      </c>
      <c r="V248">
        <f t="shared" ca="1" si="37"/>
        <v>-1.1011273400980859</v>
      </c>
      <c r="W248">
        <f t="shared" ca="1" si="41"/>
        <v>-1.0636471779866323</v>
      </c>
      <c r="X248">
        <f t="shared" ca="1" si="42"/>
        <v>111.37683915637405</v>
      </c>
    </row>
    <row r="249" spans="1:24" x14ac:dyDescent="0.25">
      <c r="A249">
        <f t="shared" ca="1" si="33"/>
        <v>104.43907647205498</v>
      </c>
      <c r="N249">
        <f t="shared" si="38"/>
        <v>0.98749999999999771</v>
      </c>
      <c r="O249" cm="1">
        <f t="array" aca="1" ref="O249" ca="1">mu*dt_1*R248</f>
        <v>3.4507697531358343E-2</v>
      </c>
      <c r="P249">
        <f t="shared" ca="1" si="34"/>
        <v>0.88147618044857767</v>
      </c>
      <c r="Q249">
        <f t="shared" ca="1" si="39"/>
        <v>0.91598387797993597</v>
      </c>
      <c r="R249">
        <f t="shared" ca="1" si="40"/>
        <v>104.43907647205498</v>
      </c>
      <c r="T249">
        <f t="shared" si="35"/>
        <v>0.98749999999999771</v>
      </c>
      <c r="U249">
        <f t="shared" ca="1" si="36"/>
        <v>3.7125613052124681E-2</v>
      </c>
      <c r="V249">
        <f t="shared" ca="1" si="37"/>
        <v>2.593149602954365</v>
      </c>
      <c r="W249">
        <f t="shared" ca="1" si="41"/>
        <v>2.6302752160064897</v>
      </c>
      <c r="X249">
        <f t="shared" ca="1" si="42"/>
        <v>114.00711437238054</v>
      </c>
    </row>
    <row r="250" spans="1:24" x14ac:dyDescent="0.25">
      <c r="A250">
        <f t="shared" ca="1" si="33"/>
        <v>105.28146719068171</v>
      </c>
      <c r="N250">
        <f t="shared" si="38"/>
        <v>0.99166666666666436</v>
      </c>
      <c r="O250" cm="1">
        <f t="array" aca="1" ref="O250" ca="1">mu*dt_1*R249</f>
        <v>3.481302549068499E-2</v>
      </c>
      <c r="P250">
        <f t="shared" ca="1" si="34"/>
        <v>0.80757769313604322</v>
      </c>
      <c r="Q250">
        <f t="shared" ca="1" si="39"/>
        <v>0.84239071862672821</v>
      </c>
      <c r="R250">
        <f t="shared" ca="1" si="40"/>
        <v>105.28146719068171</v>
      </c>
      <c r="T250">
        <f t="shared" si="35"/>
        <v>0.99166666666666436</v>
      </c>
      <c r="U250">
        <f t="shared" ca="1" si="36"/>
        <v>3.8002371457460181E-2</v>
      </c>
      <c r="V250">
        <f t="shared" ca="1" si="37"/>
        <v>-2.5681424951625074</v>
      </c>
      <c r="W250">
        <f t="shared" ca="1" si="41"/>
        <v>-2.5301401237050474</v>
      </c>
      <c r="X250">
        <f t="shared" ca="1" si="42"/>
        <v>111.47697424867549</v>
      </c>
    </row>
    <row r="251" spans="1:24" x14ac:dyDescent="0.25">
      <c r="A251">
        <f t="shared" ca="1" si="33"/>
        <v>103.25888452523965</v>
      </c>
      <c r="N251">
        <f t="shared" si="38"/>
        <v>0.99583333333333102</v>
      </c>
      <c r="O251" cm="1">
        <f t="array" aca="1" ref="O251" ca="1">mu*dt_1*R250</f>
        <v>3.5093822396893903E-2</v>
      </c>
      <c r="P251">
        <f t="shared" ca="1" si="34"/>
        <v>-2.057676487838958</v>
      </c>
      <c r="Q251">
        <f t="shared" ca="1" si="39"/>
        <v>-2.022582665442064</v>
      </c>
      <c r="R251">
        <f t="shared" ca="1" si="40"/>
        <v>103.25888452523965</v>
      </c>
      <c r="T251">
        <f t="shared" si="35"/>
        <v>0.99583333333333102</v>
      </c>
      <c r="U251">
        <f t="shared" ca="1" si="36"/>
        <v>3.7158991416225161E-2</v>
      </c>
      <c r="V251">
        <f t="shared" ca="1" si="37"/>
        <v>-1.4321230874228923</v>
      </c>
      <c r="W251">
        <f t="shared" ca="1" si="41"/>
        <v>-1.3949640960066672</v>
      </c>
      <c r="X251">
        <f t="shared" ca="1" si="42"/>
        <v>110.08201015266883</v>
      </c>
    </row>
    <row r="252" spans="1:24" x14ac:dyDescent="0.25">
      <c r="A252">
        <f t="shared" ca="1" si="33"/>
        <v>103.87666616517745</v>
      </c>
      <c r="N252">
        <f t="shared" si="38"/>
        <v>0.99999999999999767</v>
      </c>
      <c r="O252" cm="1">
        <f t="array" aca="1" ref="O252" ca="1">mu*dt_1*R251</f>
        <v>3.4419628175079882E-2</v>
      </c>
      <c r="P252">
        <f t="shared" ca="1" si="34"/>
        <v>0.58336201176272717</v>
      </c>
      <c r="Q252">
        <f t="shared" ca="1" si="39"/>
        <v>0.6177816399378071</v>
      </c>
      <c r="R252">
        <f t="shared" ca="1" si="40"/>
        <v>103.87666616517745</v>
      </c>
      <c r="T252">
        <f t="shared" si="35"/>
        <v>0.99999999999999767</v>
      </c>
      <c r="U252">
        <f t="shared" ca="1" si="36"/>
        <v>3.6694003384222941E-2</v>
      </c>
      <c r="V252">
        <f t="shared" ca="1" si="37"/>
        <v>1.0954868941242226</v>
      </c>
      <c r="W252">
        <f t="shared" ca="1" si="41"/>
        <v>1.1321808975084455</v>
      </c>
      <c r="X252">
        <f t="shared" ca="1" si="42"/>
        <v>111.21419105017728</v>
      </c>
    </row>
    <row r="253" spans="1:24" x14ac:dyDescent="0.25">
      <c r="A253">
        <f t="shared" ca="1" si="33"/>
        <v>103.20711208538654</v>
      </c>
      <c r="N253">
        <f t="shared" si="38"/>
        <v>1.0041666666666644</v>
      </c>
      <c r="O253" cm="1">
        <f t="array" aca="1" ref="O253" ca="1">mu*dt_1*R252</f>
        <v>3.462555538839248E-2</v>
      </c>
      <c r="P253">
        <f t="shared" ca="1" si="34"/>
        <v>-0.70417963517929905</v>
      </c>
      <c r="Q253">
        <f t="shared" ca="1" si="39"/>
        <v>-0.66955407979090653</v>
      </c>
      <c r="R253">
        <f t="shared" ca="1" si="40"/>
        <v>103.20711208538654</v>
      </c>
      <c r="T253">
        <f t="shared" si="35"/>
        <v>1.0041666666666644</v>
      </c>
      <c r="U253">
        <f t="shared" ca="1" si="36"/>
        <v>3.7071397016725759E-2</v>
      </c>
      <c r="V253">
        <f t="shared" ca="1" si="37"/>
        <v>2.003667029768001</v>
      </c>
      <c r="W253">
        <f t="shared" ca="1" si="41"/>
        <v>2.0407384267847268</v>
      </c>
      <c r="X253">
        <f t="shared" ca="1" si="42"/>
        <v>113.254929476962</v>
      </c>
    </row>
    <row r="254" spans="1:24" x14ac:dyDescent="0.25">
      <c r="A254">
        <f t="shared" ca="1" si="33"/>
        <v>101.52707316046792</v>
      </c>
      <c r="N254">
        <f t="shared" si="38"/>
        <v>1.0083333333333311</v>
      </c>
      <c r="O254" cm="1">
        <f t="array" aca="1" ref="O254" ca="1">mu*dt_1*R253</f>
        <v>3.4402370695128845E-2</v>
      </c>
      <c r="P254">
        <f t="shared" ca="1" si="34"/>
        <v>-1.7144412956137445</v>
      </c>
      <c r="Q254">
        <f t="shared" ca="1" si="39"/>
        <v>-1.6800389249186156</v>
      </c>
      <c r="R254">
        <f t="shared" ca="1" si="40"/>
        <v>101.52707316046792</v>
      </c>
      <c r="T254">
        <f t="shared" si="35"/>
        <v>1.0083333333333311</v>
      </c>
      <c r="U254">
        <f t="shared" ca="1" si="36"/>
        <v>3.7751643158987339E-2</v>
      </c>
      <c r="V254">
        <f t="shared" ca="1" si="37"/>
        <v>-1.1317571972044163</v>
      </c>
      <c r="W254">
        <f t="shared" ca="1" si="41"/>
        <v>-1.094005554045429</v>
      </c>
      <c r="X254">
        <f t="shared" ca="1" si="42"/>
        <v>112.16092392291658</v>
      </c>
    </row>
    <row r="255" spans="1:24" x14ac:dyDescent="0.25">
      <c r="A255">
        <f t="shared" ca="1" si="33"/>
        <v>100.77029385460337</v>
      </c>
      <c r="N255">
        <f t="shared" si="38"/>
        <v>1.0124999999999977</v>
      </c>
      <c r="O255" cm="1">
        <f t="array" aca="1" ref="O255" ca="1">mu*dt_1*R254</f>
        <v>3.3842357720155973E-2</v>
      </c>
      <c r="P255">
        <f t="shared" ca="1" si="34"/>
        <v>-0.79062166358471031</v>
      </c>
      <c r="Q255">
        <f t="shared" ca="1" si="39"/>
        <v>-0.75677930586455433</v>
      </c>
      <c r="R255">
        <f t="shared" ca="1" si="40"/>
        <v>100.77029385460337</v>
      </c>
      <c r="T255">
        <f t="shared" si="35"/>
        <v>1.0124999999999977</v>
      </c>
      <c r="U255">
        <f t="shared" ca="1" si="36"/>
        <v>3.7386974640972195E-2</v>
      </c>
      <c r="V255">
        <f t="shared" ca="1" si="37"/>
        <v>2.2693022623003238E-3</v>
      </c>
      <c r="W255">
        <f t="shared" ca="1" si="41"/>
        <v>3.9656276903272517E-2</v>
      </c>
      <c r="X255">
        <f t="shared" ca="1" si="42"/>
        <v>112.20058019981985</v>
      </c>
    </row>
    <row r="256" spans="1:24" x14ac:dyDescent="0.25">
      <c r="A256">
        <f t="shared" ca="1" si="33"/>
        <v>103.30093219326163</v>
      </c>
      <c r="N256">
        <f t="shared" si="38"/>
        <v>1.0166666666666644</v>
      </c>
      <c r="O256" cm="1">
        <f t="array" aca="1" ref="O256" ca="1">mu*dt_1*R255</f>
        <v>3.3590097951534455E-2</v>
      </c>
      <c r="P256">
        <f t="shared" ca="1" si="34"/>
        <v>2.4970482407067265</v>
      </c>
      <c r="Q256">
        <f t="shared" ca="1" si="39"/>
        <v>2.5306383386582612</v>
      </c>
      <c r="R256">
        <f t="shared" ca="1" si="40"/>
        <v>103.30093219326163</v>
      </c>
      <c r="T256">
        <f t="shared" si="35"/>
        <v>1.0166666666666644</v>
      </c>
      <c r="U256">
        <f t="shared" ca="1" si="36"/>
        <v>3.7400193399939954E-2</v>
      </c>
      <c r="V256">
        <f t="shared" ca="1" si="37"/>
        <v>-1.3118147787305332</v>
      </c>
      <c r="W256">
        <f t="shared" ca="1" si="41"/>
        <v>-1.2744145853305933</v>
      </c>
      <c r="X256">
        <f t="shared" ca="1" si="42"/>
        <v>110.92616561448926</v>
      </c>
    </row>
    <row r="257" spans="1:24" x14ac:dyDescent="0.25">
      <c r="A257">
        <f t="shared" ca="1" si="33"/>
        <v>102.43995118007918</v>
      </c>
      <c r="N257">
        <f t="shared" si="38"/>
        <v>1.020833333333331</v>
      </c>
      <c r="O257" cm="1">
        <f t="array" aca="1" ref="O257" ca="1">mu*dt_1*R256</f>
        <v>3.4433644064420545E-2</v>
      </c>
      <c r="P257">
        <f t="shared" ca="1" si="34"/>
        <v>-0.89541465724687042</v>
      </c>
      <c r="Q257">
        <f t="shared" ca="1" si="39"/>
        <v>-0.86098101318244991</v>
      </c>
      <c r="R257">
        <f t="shared" ca="1" si="40"/>
        <v>102.43995118007918</v>
      </c>
      <c r="T257">
        <f t="shared" si="35"/>
        <v>1.020833333333331</v>
      </c>
      <c r="U257">
        <f t="shared" ca="1" si="36"/>
        <v>3.6975388538163088E-2</v>
      </c>
      <c r="V257">
        <f t="shared" ca="1" si="37"/>
        <v>0.26885463962122141</v>
      </c>
      <c r="W257">
        <f t="shared" ca="1" si="41"/>
        <v>0.30583002815938448</v>
      </c>
      <c r="X257">
        <f t="shared" ca="1" si="42"/>
        <v>111.23199564264866</v>
      </c>
    </row>
    <row r="258" spans="1:24" x14ac:dyDescent="0.25">
      <c r="A258">
        <f t="shared" ca="1" si="33"/>
        <v>102.12605565284387</v>
      </c>
      <c r="N258">
        <f t="shared" si="38"/>
        <v>1.0249999999999977</v>
      </c>
      <c r="O258" cm="1">
        <f t="array" aca="1" ref="O258" ca="1">mu*dt_1*R257</f>
        <v>3.4146650393359727E-2</v>
      </c>
      <c r="P258">
        <f t="shared" ca="1" si="34"/>
        <v>-0.34804217762866801</v>
      </c>
      <c r="Q258">
        <f t="shared" ca="1" si="39"/>
        <v>-0.31389552723530828</v>
      </c>
      <c r="R258">
        <f t="shared" ca="1" si="40"/>
        <v>102.12605565284387</v>
      </c>
      <c r="T258">
        <f t="shared" si="35"/>
        <v>1.0249999999999977</v>
      </c>
      <c r="U258">
        <f t="shared" ca="1" si="36"/>
        <v>3.7077331880882886E-2</v>
      </c>
      <c r="V258">
        <f t="shared" ca="1" si="37"/>
        <v>9.088294300668695E-2</v>
      </c>
      <c r="W258">
        <f t="shared" ca="1" si="41"/>
        <v>0.12796027488756984</v>
      </c>
      <c r="X258">
        <f t="shared" ca="1" si="42"/>
        <v>111.35995591753623</v>
      </c>
    </row>
    <row r="259" spans="1:24" x14ac:dyDescent="0.25">
      <c r="A259">
        <f t="shared" ca="1" si="33"/>
        <v>101.67130137388747</v>
      </c>
      <c r="N259">
        <f t="shared" si="38"/>
        <v>1.0291666666666643</v>
      </c>
      <c r="O259" cm="1">
        <f t="array" aca="1" ref="O259" ca="1">mu*dt_1*R258</f>
        <v>3.4042018550947954E-2</v>
      </c>
      <c r="P259">
        <f t="shared" ca="1" si="34"/>
        <v>-0.48879629750734777</v>
      </c>
      <c r="Q259">
        <f t="shared" ca="1" si="39"/>
        <v>-0.4547542789563998</v>
      </c>
      <c r="R259">
        <f t="shared" ca="1" si="40"/>
        <v>101.67130137388747</v>
      </c>
      <c r="T259">
        <f t="shared" si="35"/>
        <v>1.0291666666666643</v>
      </c>
      <c r="U259">
        <f t="shared" ca="1" si="36"/>
        <v>3.7119985305845406E-2</v>
      </c>
      <c r="V259">
        <f t="shared" ca="1" si="37"/>
        <v>-1.7747930240807899</v>
      </c>
      <c r="W259">
        <f t="shared" ca="1" si="41"/>
        <v>-1.7376730387749444</v>
      </c>
      <c r="X259">
        <f t="shared" ca="1" si="42"/>
        <v>109.62228287876128</v>
      </c>
    </row>
    <row r="260" spans="1:24" x14ac:dyDescent="0.25">
      <c r="A260">
        <f t="shared" ca="1" si="33"/>
        <v>99.815388924967522</v>
      </c>
      <c r="N260">
        <f t="shared" si="38"/>
        <v>1.033333333333331</v>
      </c>
      <c r="O260" cm="1">
        <f t="array" aca="1" ref="O260" ca="1">mu*dt_1*R259</f>
        <v>3.3890433791295825E-2</v>
      </c>
      <c r="P260">
        <f t="shared" ca="1" si="34"/>
        <v>-1.8898028827112499</v>
      </c>
      <c r="Q260">
        <f t="shared" ca="1" si="39"/>
        <v>-1.8559124489199541</v>
      </c>
      <c r="R260">
        <f t="shared" ca="1" si="40"/>
        <v>99.815388924967522</v>
      </c>
      <c r="T260">
        <f t="shared" si="35"/>
        <v>1.033333333333331</v>
      </c>
      <c r="U260">
        <f t="shared" ca="1" si="36"/>
        <v>3.6540760959587096E-2</v>
      </c>
      <c r="V260">
        <f t="shared" ca="1" si="37"/>
        <v>-0.58497792989461872</v>
      </c>
      <c r="W260">
        <f t="shared" ca="1" si="41"/>
        <v>-0.54843716893503158</v>
      </c>
      <c r="X260">
        <f t="shared" ca="1" si="42"/>
        <v>109.07384570982624</v>
      </c>
    </row>
    <row r="261" spans="1:24" x14ac:dyDescent="0.25">
      <c r="A261">
        <f t="shared" ca="1" si="33"/>
        <v>101.19425126721011</v>
      </c>
      <c r="N261">
        <f t="shared" si="38"/>
        <v>1.0374999999999976</v>
      </c>
      <c r="O261" cm="1">
        <f t="array" aca="1" ref="O261" ca="1">mu*dt_1*R260</f>
        <v>3.3271796308322506E-2</v>
      </c>
      <c r="P261">
        <f t="shared" ca="1" si="34"/>
        <v>1.3455905459342556</v>
      </c>
      <c r="Q261">
        <f t="shared" ca="1" si="39"/>
        <v>1.3788623422425781</v>
      </c>
      <c r="R261">
        <f t="shared" ca="1" si="40"/>
        <v>101.19425126721011</v>
      </c>
      <c r="T261">
        <f t="shared" si="35"/>
        <v>1.0374999999999976</v>
      </c>
      <c r="U261">
        <f t="shared" ca="1" si="36"/>
        <v>3.6357948569942088E-2</v>
      </c>
      <c r="V261">
        <f t="shared" ca="1" si="37"/>
        <v>-2.3106950455430333</v>
      </c>
      <c r="W261">
        <f t="shared" ca="1" si="41"/>
        <v>-2.2743370969730914</v>
      </c>
      <c r="X261">
        <f t="shared" ca="1" si="42"/>
        <v>106.79950861285316</v>
      </c>
    </row>
    <row r="262" spans="1:24" x14ac:dyDescent="0.25">
      <c r="A262">
        <f t="shared" ca="1" si="33"/>
        <v>102.31810041184752</v>
      </c>
      <c r="N262">
        <f t="shared" si="38"/>
        <v>1.0416666666666643</v>
      </c>
      <c r="O262" cm="1">
        <f t="array" aca="1" ref="O262" ca="1">mu*dt_1*R261</f>
        <v>3.3731417089070036E-2</v>
      </c>
      <c r="P262">
        <f t="shared" ca="1" si="34"/>
        <v>1.090117727548348</v>
      </c>
      <c r="Q262">
        <f t="shared" ca="1" si="39"/>
        <v>1.1238491446374181</v>
      </c>
      <c r="R262">
        <f t="shared" ca="1" si="40"/>
        <v>102.31810041184752</v>
      </c>
      <c r="T262">
        <f t="shared" si="35"/>
        <v>1.0416666666666643</v>
      </c>
      <c r="U262">
        <f t="shared" ca="1" si="36"/>
        <v>3.5599836204284391E-2</v>
      </c>
      <c r="V262">
        <f t="shared" ca="1" si="37"/>
        <v>-1.1673695723665889</v>
      </c>
      <c r="W262">
        <f t="shared" ca="1" si="41"/>
        <v>-1.1317697361623045</v>
      </c>
      <c r="X262">
        <f t="shared" ca="1" si="42"/>
        <v>105.66773887669086</v>
      </c>
    </row>
    <row r="263" spans="1:24" x14ac:dyDescent="0.25">
      <c r="A263">
        <f t="shared" ca="1" si="33"/>
        <v>104.08199165738169</v>
      </c>
      <c r="N263">
        <f t="shared" si="38"/>
        <v>1.045833333333331</v>
      </c>
      <c r="O263" cm="1">
        <f t="array" aca="1" ref="O263" ca="1">mu*dt_1*R262</f>
        <v>3.4106033470615839E-2</v>
      </c>
      <c r="P263">
        <f t="shared" ca="1" si="34"/>
        <v>1.7297852120635562</v>
      </c>
      <c r="Q263">
        <f t="shared" ca="1" si="39"/>
        <v>1.763891245534172</v>
      </c>
      <c r="R263">
        <f t="shared" ca="1" si="40"/>
        <v>104.08199165738169</v>
      </c>
      <c r="T263">
        <f t="shared" si="35"/>
        <v>1.045833333333331</v>
      </c>
      <c r="U263">
        <f t="shared" ca="1" si="36"/>
        <v>3.5222579625563619E-2</v>
      </c>
      <c r="V263">
        <f t="shared" ca="1" si="37"/>
        <v>1.1042609518045277</v>
      </c>
      <c r="W263">
        <f t="shared" ca="1" si="41"/>
        <v>1.1394835314300913</v>
      </c>
      <c r="X263">
        <f t="shared" ca="1" si="42"/>
        <v>106.80722240812095</v>
      </c>
    </row>
    <row r="264" spans="1:24" x14ac:dyDescent="0.25">
      <c r="A264">
        <f t="shared" ca="1" si="33"/>
        <v>105.41372487228217</v>
      </c>
      <c r="N264">
        <f t="shared" si="38"/>
        <v>1.0499999999999976</v>
      </c>
      <c r="O264" cm="1">
        <f t="array" aca="1" ref="O264" ca="1">mu*dt_1*R263</f>
        <v>3.4693997219127228E-2</v>
      </c>
      <c r="P264">
        <f t="shared" ca="1" si="34"/>
        <v>1.2970392176813492</v>
      </c>
      <c r="Q264">
        <f t="shared" ca="1" si="39"/>
        <v>1.3317332149004764</v>
      </c>
      <c r="R264">
        <f t="shared" ca="1" si="40"/>
        <v>105.41372487228217</v>
      </c>
      <c r="T264">
        <f t="shared" si="35"/>
        <v>1.0499999999999976</v>
      </c>
      <c r="U264">
        <f t="shared" ca="1" si="36"/>
        <v>3.5602407469373647E-2</v>
      </c>
      <c r="V264">
        <f t="shared" ca="1" si="37"/>
        <v>1.5166738784215672</v>
      </c>
      <c r="W264">
        <f t="shared" ca="1" si="41"/>
        <v>1.5522762858909409</v>
      </c>
      <c r="X264">
        <f t="shared" ca="1" si="42"/>
        <v>108.35949869401189</v>
      </c>
    </row>
    <row r="265" spans="1:24" x14ac:dyDescent="0.25">
      <c r="A265">
        <f t="shared" ca="1" si="33"/>
        <v>105.7527964482267</v>
      </c>
      <c r="N265">
        <f t="shared" si="38"/>
        <v>1.0541666666666643</v>
      </c>
      <c r="O265" cm="1">
        <f t="array" aca="1" ref="O265" ca="1">mu*dt_1*R264</f>
        <v>3.5137908290760723E-2</v>
      </c>
      <c r="P265">
        <f t="shared" ca="1" si="34"/>
        <v>0.30393366765377416</v>
      </c>
      <c r="Q265">
        <f t="shared" ca="1" si="39"/>
        <v>0.33907157594453491</v>
      </c>
      <c r="R265">
        <f t="shared" ca="1" si="40"/>
        <v>105.7527964482267</v>
      </c>
      <c r="T265">
        <f t="shared" si="35"/>
        <v>1.0541666666666643</v>
      </c>
      <c r="U265">
        <f t="shared" ca="1" si="36"/>
        <v>3.611983289800396E-2</v>
      </c>
      <c r="V265">
        <f t="shared" ca="1" si="37"/>
        <v>-1.4737528180075679</v>
      </c>
      <c r="W265">
        <f t="shared" ca="1" si="41"/>
        <v>-1.4376329851095639</v>
      </c>
      <c r="X265">
        <f t="shared" ca="1" si="42"/>
        <v>106.92186570890233</v>
      </c>
    </row>
    <row r="266" spans="1:24" x14ac:dyDescent="0.25">
      <c r="A266">
        <f t="shared" ca="1" si="33"/>
        <v>105.74313046827612</v>
      </c>
      <c r="N266">
        <f t="shared" si="38"/>
        <v>1.0583333333333309</v>
      </c>
      <c r="O266" cm="1">
        <f t="array" aca="1" ref="O266" ca="1">mu*dt_1*R265</f>
        <v>3.5250932149408901E-2</v>
      </c>
      <c r="P266">
        <f t="shared" ca="1" si="34"/>
        <v>0.99015787411296363</v>
      </c>
      <c r="Q266">
        <f t="shared" ca="1" si="39"/>
        <v>1.0254088062623725</v>
      </c>
      <c r="R266">
        <f t="shared" ca="1" si="40"/>
        <v>106.77820525448908</v>
      </c>
      <c r="T266">
        <f t="shared" si="35"/>
        <v>1.0583333333333309</v>
      </c>
      <c r="U266">
        <f t="shared" ca="1" si="36"/>
        <v>3.5640621902967448E-2</v>
      </c>
      <c r="V266">
        <f t="shared" ca="1" si="37"/>
        <v>-1.2143758625291714</v>
      </c>
      <c r="W266">
        <f t="shared" ca="1" si="41"/>
        <v>-1.1787352406262039</v>
      </c>
      <c r="X266">
        <f t="shared" ca="1" si="42"/>
        <v>105.74313046827612</v>
      </c>
    </row>
    <row r="267" spans="1:24" x14ac:dyDescent="0.25">
      <c r="A267">
        <f t="shared" ca="1" si="33"/>
        <v>105.11463261385461</v>
      </c>
      <c r="N267">
        <f t="shared" si="38"/>
        <v>1.0624999999999976</v>
      </c>
      <c r="O267" cm="1">
        <f t="array" aca="1" ref="O267" ca="1">mu*dt_1*R266</f>
        <v>3.5592735084829692E-2</v>
      </c>
      <c r="P267">
        <f t="shared" ca="1" si="34"/>
        <v>-1.6991653757193028</v>
      </c>
      <c r="Q267">
        <f t="shared" ca="1" si="39"/>
        <v>-1.6635726406344731</v>
      </c>
      <c r="R267">
        <f t="shared" ca="1" si="40"/>
        <v>105.11463261385461</v>
      </c>
      <c r="T267">
        <f t="shared" si="35"/>
        <v>1.0624999999999976</v>
      </c>
      <c r="U267">
        <f t="shared" ca="1" si="36"/>
        <v>3.5247710156092044E-2</v>
      </c>
      <c r="V267">
        <f t="shared" ca="1" si="37"/>
        <v>0.70887404637016094</v>
      </c>
      <c r="W267">
        <f t="shared" ca="1" si="41"/>
        <v>0.74412175652625301</v>
      </c>
      <c r="X267">
        <f t="shared" ca="1" si="42"/>
        <v>106.48725222480238</v>
      </c>
    </row>
    <row r="268" spans="1:24" x14ac:dyDescent="0.25">
      <c r="A268">
        <f t="shared" ca="1" si="33"/>
        <v>102.57416164028</v>
      </c>
      <c r="N268">
        <f t="shared" si="38"/>
        <v>1.0666666666666642</v>
      </c>
      <c r="O268" cm="1">
        <f t="array" aca="1" ref="O268" ca="1">mu*dt_1*R267</f>
        <v>3.5038210871284871E-2</v>
      </c>
      <c r="P268">
        <f t="shared" ca="1" si="34"/>
        <v>-2.5755091844458979</v>
      </c>
      <c r="Q268">
        <f t="shared" ca="1" si="39"/>
        <v>-2.5404709735746129</v>
      </c>
      <c r="R268">
        <f t="shared" ca="1" si="40"/>
        <v>102.57416164028</v>
      </c>
      <c r="T268">
        <f t="shared" si="35"/>
        <v>1.0666666666666642</v>
      </c>
      <c r="U268">
        <f t="shared" ca="1" si="36"/>
        <v>3.5495750741600794E-2</v>
      </c>
      <c r="V268">
        <f t="shared" ca="1" si="37"/>
        <v>-1.9716730123545838</v>
      </c>
      <c r="W268">
        <f t="shared" ca="1" si="41"/>
        <v>-1.9361772616129831</v>
      </c>
      <c r="X268">
        <f t="shared" ca="1" si="42"/>
        <v>104.55107496318939</v>
      </c>
    </row>
    <row r="269" spans="1:24" x14ac:dyDescent="0.25">
      <c r="A269">
        <f t="shared" ref="A269:A332" ca="1" si="43">MIN(R269,X269)</f>
        <v>105.6370876736526</v>
      </c>
      <c r="N269">
        <f t="shared" si="38"/>
        <v>1.0708333333333309</v>
      </c>
      <c r="O269" cm="1">
        <f t="array" aca="1" ref="O269" ca="1">mu*dt_1*R268</f>
        <v>3.4191387213426662E-2</v>
      </c>
      <c r="P269">
        <f t="shared" ref="P269:P332" ca="1" si="44">_xlfn.NORM.INV(RAND(),0,1)*SQRT(dt_1)*sigma1*R268</f>
        <v>3.5793801987502856</v>
      </c>
      <c r="Q269">
        <f t="shared" ca="1" si="39"/>
        <v>3.6135715859637121</v>
      </c>
      <c r="R269">
        <f t="shared" ca="1" si="40"/>
        <v>106.18773322624371</v>
      </c>
      <c r="T269">
        <f t="shared" ref="T269:T332" si="45">T268+dt_2</f>
        <v>1.0708333333333309</v>
      </c>
      <c r="U269">
        <f t="shared" ref="U269:U332" ca="1" si="46">mu_2*X268*dt_2</f>
        <v>3.4850358321063132E-2</v>
      </c>
      <c r="V269">
        <f t="shared" ref="V269:V332" ca="1" si="47">(rho*P269/sigma1/R268+SQRT(1-rho^2)*_xlfn.NORM.INV(RAND(),0,1)*SQRT(dt_2))*sigma2*X268</f>
        <v>1.051162352142148</v>
      </c>
      <c r="W269">
        <f t="shared" ca="1" si="41"/>
        <v>1.0860127104632111</v>
      </c>
      <c r="X269">
        <f t="shared" ca="1" si="42"/>
        <v>105.6370876736526</v>
      </c>
    </row>
    <row r="270" spans="1:24" x14ac:dyDescent="0.25">
      <c r="A270">
        <f t="shared" ca="1" si="43"/>
        <v>104.39767038771983</v>
      </c>
      <c r="N270">
        <f t="shared" ref="N270:N333" si="48">N269+$C$8</f>
        <v>1.0749999999999975</v>
      </c>
      <c r="O270" cm="1">
        <f t="array" aca="1" ref="O270" ca="1">mu*dt_1*R269</f>
        <v>3.5395911075414566E-2</v>
      </c>
      <c r="P270">
        <f t="shared" ca="1" si="44"/>
        <v>-0.16538607653130724</v>
      </c>
      <c r="Q270">
        <f t="shared" ref="Q270:Q333" ca="1" si="49">O270+P270</f>
        <v>-0.12999016545589268</v>
      </c>
      <c r="R270">
        <f t="shared" ref="R270:R333" ca="1" si="50">R269+Q270</f>
        <v>106.05774306078781</v>
      </c>
      <c r="T270">
        <f t="shared" si="45"/>
        <v>1.0749999999999975</v>
      </c>
      <c r="U270">
        <f t="shared" ca="1" si="46"/>
        <v>3.5212362557884201E-2</v>
      </c>
      <c r="V270">
        <f t="shared" ca="1" si="47"/>
        <v>-1.2746296484906536</v>
      </c>
      <c r="W270">
        <f t="shared" ref="W270:W333" ca="1" si="51">U270+V270</f>
        <v>-1.2394172859327695</v>
      </c>
      <c r="X270">
        <f t="shared" ref="X270:X333" ca="1" si="52">X269+W270</f>
        <v>104.39767038771983</v>
      </c>
    </row>
    <row r="271" spans="1:24" x14ac:dyDescent="0.25">
      <c r="A271">
        <f t="shared" ca="1" si="43"/>
        <v>104.72958711852834</v>
      </c>
      <c r="N271">
        <f t="shared" si="48"/>
        <v>1.0791666666666642</v>
      </c>
      <c r="O271" cm="1">
        <f t="array" aca="1" ref="O271" ca="1">mu*dt_1*R270</f>
        <v>3.5352581020262605E-2</v>
      </c>
      <c r="P271">
        <f t="shared" ca="1" si="44"/>
        <v>1.3046269554709689</v>
      </c>
      <c r="Q271">
        <f t="shared" ca="1" si="49"/>
        <v>1.3399795364912315</v>
      </c>
      <c r="R271">
        <f t="shared" ca="1" si="50"/>
        <v>107.39772259727904</v>
      </c>
      <c r="T271">
        <f t="shared" si="45"/>
        <v>1.0791666666666642</v>
      </c>
      <c r="U271">
        <f t="shared" ca="1" si="46"/>
        <v>3.4799223462573275E-2</v>
      </c>
      <c r="V271">
        <f t="shared" ca="1" si="47"/>
        <v>0.29711750734594711</v>
      </c>
      <c r="W271">
        <f t="shared" ca="1" si="51"/>
        <v>0.33191673080852035</v>
      </c>
      <c r="X271">
        <f t="shared" ca="1" si="52"/>
        <v>104.72958711852834</v>
      </c>
    </row>
    <row r="272" spans="1:24" x14ac:dyDescent="0.25">
      <c r="A272">
        <f t="shared" ca="1" si="43"/>
        <v>103.79028748479718</v>
      </c>
      <c r="N272">
        <f t="shared" si="48"/>
        <v>1.0833333333333308</v>
      </c>
      <c r="O272" cm="1">
        <f t="array" aca="1" ref="O272" ca="1">mu*dt_1*R271</f>
        <v>3.5799240865759682E-2</v>
      </c>
      <c r="P272">
        <f t="shared" ca="1" si="44"/>
        <v>1.0963460550645396</v>
      </c>
      <c r="Q272">
        <f t="shared" ca="1" si="49"/>
        <v>1.1321452959302993</v>
      </c>
      <c r="R272">
        <f t="shared" ca="1" si="50"/>
        <v>108.52986789320934</v>
      </c>
      <c r="T272">
        <f t="shared" si="45"/>
        <v>1.0833333333333308</v>
      </c>
      <c r="U272">
        <f t="shared" ca="1" si="46"/>
        <v>3.4909862372842784E-2</v>
      </c>
      <c r="V272">
        <f t="shared" ca="1" si="47"/>
        <v>-0.97420949610400542</v>
      </c>
      <c r="W272">
        <f t="shared" ca="1" si="51"/>
        <v>-0.93929963373116265</v>
      </c>
      <c r="X272">
        <f t="shared" ca="1" si="52"/>
        <v>103.79028748479718</v>
      </c>
    </row>
    <row r="273" spans="1:24" x14ac:dyDescent="0.25">
      <c r="A273">
        <f t="shared" ca="1" si="43"/>
        <v>102.7988428459375</v>
      </c>
      <c r="N273">
        <f t="shared" si="48"/>
        <v>1.0874999999999975</v>
      </c>
      <c r="O273" cm="1">
        <f t="array" aca="1" ref="O273" ca="1">mu*dt_1*R272</f>
        <v>3.6176622631069778E-2</v>
      </c>
      <c r="P273">
        <f t="shared" ca="1" si="44"/>
        <v>-0.14655279926588385</v>
      </c>
      <c r="Q273">
        <f t="shared" ca="1" si="49"/>
        <v>-0.11037617663481408</v>
      </c>
      <c r="R273">
        <f t="shared" ca="1" si="50"/>
        <v>108.41949171657453</v>
      </c>
      <c r="T273">
        <f t="shared" si="45"/>
        <v>1.0874999999999975</v>
      </c>
      <c r="U273">
        <f t="shared" ca="1" si="46"/>
        <v>3.459676249493239E-2</v>
      </c>
      <c r="V273">
        <f t="shared" ca="1" si="47"/>
        <v>-1.0260414013546089</v>
      </c>
      <c r="W273">
        <f t="shared" ca="1" si="51"/>
        <v>-0.99144463885967649</v>
      </c>
      <c r="X273">
        <f t="shared" ca="1" si="52"/>
        <v>102.7988428459375</v>
      </c>
    </row>
    <row r="274" spans="1:24" x14ac:dyDescent="0.25">
      <c r="A274">
        <f t="shared" ca="1" si="43"/>
        <v>100.60814733065175</v>
      </c>
      <c r="N274">
        <f t="shared" si="48"/>
        <v>1.0916666666666641</v>
      </c>
      <c r="O274" cm="1">
        <f t="array" aca="1" ref="O274" ca="1">mu*dt_1*R273</f>
        <v>3.6139830572191507E-2</v>
      </c>
      <c r="P274">
        <f t="shared" ca="1" si="44"/>
        <v>1.2446641494434605</v>
      </c>
      <c r="Q274">
        <f t="shared" ca="1" si="49"/>
        <v>1.2808039800156521</v>
      </c>
      <c r="R274">
        <f t="shared" ca="1" si="50"/>
        <v>109.70029569659017</v>
      </c>
      <c r="T274">
        <f t="shared" si="45"/>
        <v>1.0916666666666641</v>
      </c>
      <c r="U274">
        <f t="shared" ca="1" si="46"/>
        <v>3.4266280948645832E-2</v>
      </c>
      <c r="V274">
        <f t="shared" ca="1" si="47"/>
        <v>-2.2249617962343935</v>
      </c>
      <c r="W274">
        <f t="shared" ca="1" si="51"/>
        <v>-2.1906955152857477</v>
      </c>
      <c r="X274">
        <f t="shared" ca="1" si="52"/>
        <v>100.60814733065175</v>
      </c>
    </row>
    <row r="275" spans="1:24" x14ac:dyDescent="0.25">
      <c r="A275">
        <f t="shared" ca="1" si="43"/>
        <v>99.330076551060941</v>
      </c>
      <c r="N275">
        <f t="shared" si="48"/>
        <v>1.0958333333333308</v>
      </c>
      <c r="O275" cm="1">
        <f t="array" aca="1" ref="O275" ca="1">mu*dt_1*R274</f>
        <v>3.6566765232196721E-2</v>
      </c>
      <c r="P275">
        <f t="shared" ca="1" si="44"/>
        <v>-0.11890734291385231</v>
      </c>
      <c r="Q275">
        <f t="shared" ca="1" si="49"/>
        <v>-8.2340577681655591E-2</v>
      </c>
      <c r="R275">
        <f t="shared" ca="1" si="50"/>
        <v>109.61795511890853</v>
      </c>
      <c r="T275">
        <f t="shared" si="45"/>
        <v>1.0958333333333308</v>
      </c>
      <c r="U275">
        <f t="shared" ca="1" si="46"/>
        <v>3.353604911021725E-2</v>
      </c>
      <c r="V275">
        <f t="shared" ca="1" si="47"/>
        <v>-1.3116068287010296</v>
      </c>
      <c r="W275">
        <f t="shared" ca="1" si="51"/>
        <v>-1.2780707795908124</v>
      </c>
      <c r="X275">
        <f t="shared" ca="1" si="52"/>
        <v>99.330076551060941</v>
      </c>
    </row>
    <row r="276" spans="1:24" x14ac:dyDescent="0.25">
      <c r="A276">
        <f t="shared" ca="1" si="43"/>
        <v>99.166904339827212</v>
      </c>
      <c r="N276">
        <f t="shared" si="48"/>
        <v>1.0999999999999974</v>
      </c>
      <c r="O276" cm="1">
        <f t="array" aca="1" ref="O276" ca="1">mu*dt_1*R275</f>
        <v>3.6539318372969511E-2</v>
      </c>
      <c r="P276">
        <f t="shared" ca="1" si="44"/>
        <v>0.95057422905847455</v>
      </c>
      <c r="Q276">
        <f t="shared" ca="1" si="49"/>
        <v>0.98711354743144408</v>
      </c>
      <c r="R276">
        <f t="shared" ca="1" si="50"/>
        <v>110.60506866633997</v>
      </c>
      <c r="T276">
        <f t="shared" si="45"/>
        <v>1.0999999999999974</v>
      </c>
      <c r="U276">
        <f t="shared" ca="1" si="46"/>
        <v>3.3110025517020317E-2</v>
      </c>
      <c r="V276">
        <f t="shared" ca="1" si="47"/>
        <v>-0.19628223675075582</v>
      </c>
      <c r="W276">
        <f t="shared" ca="1" si="51"/>
        <v>-0.16317221123373549</v>
      </c>
      <c r="X276">
        <f t="shared" ca="1" si="52"/>
        <v>99.166904339827212</v>
      </c>
    </row>
    <row r="277" spans="1:24" x14ac:dyDescent="0.25">
      <c r="A277">
        <f t="shared" ca="1" si="43"/>
        <v>99.747806485710555</v>
      </c>
      <c r="N277">
        <f t="shared" si="48"/>
        <v>1.1041666666666641</v>
      </c>
      <c r="O277" cm="1">
        <f t="array" aca="1" ref="O277" ca="1">mu*dt_1*R276</f>
        <v>3.6868356222113326E-2</v>
      </c>
      <c r="P277">
        <f t="shared" ca="1" si="44"/>
        <v>-1.2632062152716916</v>
      </c>
      <c r="Q277">
        <f t="shared" ca="1" si="49"/>
        <v>-1.2263378590495784</v>
      </c>
      <c r="R277">
        <f t="shared" ca="1" si="50"/>
        <v>109.3787308072904</v>
      </c>
      <c r="T277">
        <f t="shared" si="45"/>
        <v>1.1041666666666641</v>
      </c>
      <c r="U277">
        <f t="shared" ca="1" si="46"/>
        <v>3.3055634779942403E-2</v>
      </c>
      <c r="V277">
        <f t="shared" ca="1" si="47"/>
        <v>0.54784651110339444</v>
      </c>
      <c r="W277">
        <f t="shared" ca="1" si="51"/>
        <v>0.58090214588333688</v>
      </c>
      <c r="X277">
        <f t="shared" ca="1" si="52"/>
        <v>99.747806485710555</v>
      </c>
    </row>
    <row r="278" spans="1:24" x14ac:dyDescent="0.25">
      <c r="A278">
        <f t="shared" ca="1" si="43"/>
        <v>98.90412165785942</v>
      </c>
      <c r="N278">
        <f t="shared" si="48"/>
        <v>1.1083333333333307</v>
      </c>
      <c r="O278" cm="1">
        <f t="array" aca="1" ref="O278" ca="1">mu*dt_1*R277</f>
        <v>3.6459576935763467E-2</v>
      </c>
      <c r="P278">
        <f t="shared" ca="1" si="44"/>
        <v>-2.6521358273162455E-4</v>
      </c>
      <c r="Q278">
        <f t="shared" ca="1" si="49"/>
        <v>3.619436335303184E-2</v>
      </c>
      <c r="R278">
        <f t="shared" ca="1" si="50"/>
        <v>109.41492517064343</v>
      </c>
      <c r="T278">
        <f t="shared" si="45"/>
        <v>1.1083333333333307</v>
      </c>
      <c r="U278">
        <f t="shared" ca="1" si="46"/>
        <v>3.3249268828570183E-2</v>
      </c>
      <c r="V278">
        <f t="shared" ca="1" si="47"/>
        <v>-0.87693409667970612</v>
      </c>
      <c r="W278">
        <f t="shared" ca="1" si="51"/>
        <v>-0.84368482785113597</v>
      </c>
      <c r="X278">
        <f t="shared" ca="1" si="52"/>
        <v>98.90412165785942</v>
      </c>
    </row>
    <row r="279" spans="1:24" x14ac:dyDescent="0.25">
      <c r="A279">
        <f t="shared" ca="1" si="43"/>
        <v>99.884320904281893</v>
      </c>
      <c r="N279">
        <f t="shared" si="48"/>
        <v>1.1124999999999974</v>
      </c>
      <c r="O279" cm="1">
        <f t="array" aca="1" ref="O279" ca="1">mu*dt_1*R278</f>
        <v>3.6471641723547811E-2</v>
      </c>
      <c r="P279">
        <f t="shared" ca="1" si="44"/>
        <v>-0.9853209909424927</v>
      </c>
      <c r="Q279">
        <f t="shared" ca="1" si="49"/>
        <v>-0.94884934921894493</v>
      </c>
      <c r="R279">
        <f t="shared" ca="1" si="50"/>
        <v>108.46607582142448</v>
      </c>
      <c r="T279">
        <f t="shared" si="45"/>
        <v>1.1124999999999974</v>
      </c>
      <c r="U279">
        <f t="shared" ca="1" si="46"/>
        <v>3.2968040552619808E-2</v>
      </c>
      <c r="V279">
        <f t="shared" ca="1" si="47"/>
        <v>0.94723120586985043</v>
      </c>
      <c r="W279">
        <f t="shared" ca="1" si="51"/>
        <v>0.98019924642247025</v>
      </c>
      <c r="X279">
        <f t="shared" ca="1" si="52"/>
        <v>99.884320904281893</v>
      </c>
    </row>
    <row r="280" spans="1:24" x14ac:dyDescent="0.25">
      <c r="A280">
        <f t="shared" ca="1" si="43"/>
        <v>99.608664248514586</v>
      </c>
      <c r="N280">
        <f t="shared" si="48"/>
        <v>1.116666666666664</v>
      </c>
      <c r="O280" cm="1">
        <f t="array" aca="1" ref="O280" ca="1">mu*dt_1*R279</f>
        <v>3.6155358607141495E-2</v>
      </c>
      <c r="P280">
        <f t="shared" ca="1" si="44"/>
        <v>-3.1444657507467166</v>
      </c>
      <c r="Q280">
        <f t="shared" ca="1" si="49"/>
        <v>-3.1083103921395749</v>
      </c>
      <c r="R280">
        <f t="shared" ca="1" si="50"/>
        <v>105.35776542928491</v>
      </c>
      <c r="T280">
        <f t="shared" si="45"/>
        <v>1.116666666666664</v>
      </c>
      <c r="U280">
        <f t="shared" ca="1" si="46"/>
        <v>3.3294773634760633E-2</v>
      </c>
      <c r="V280">
        <f t="shared" ca="1" si="47"/>
        <v>-0.30895142940206938</v>
      </c>
      <c r="W280">
        <f t="shared" ca="1" si="51"/>
        <v>-0.27565665576730874</v>
      </c>
      <c r="X280">
        <f t="shared" ca="1" si="52"/>
        <v>99.608664248514586</v>
      </c>
    </row>
    <row r="281" spans="1:24" x14ac:dyDescent="0.25">
      <c r="A281">
        <f t="shared" ca="1" si="43"/>
        <v>98.324366186364401</v>
      </c>
      <c r="N281">
        <f t="shared" si="48"/>
        <v>1.1208333333333307</v>
      </c>
      <c r="O281" cm="1">
        <f t="array" aca="1" ref="O281" ca="1">mu*dt_1*R280</f>
        <v>3.5119255143094968E-2</v>
      </c>
      <c r="P281">
        <f t="shared" ca="1" si="44"/>
        <v>-1.9791264079220023</v>
      </c>
      <c r="Q281">
        <f t="shared" ca="1" si="49"/>
        <v>-1.9440071527789073</v>
      </c>
      <c r="R281">
        <f t="shared" ca="1" si="50"/>
        <v>103.413758276506</v>
      </c>
      <c r="T281">
        <f t="shared" si="45"/>
        <v>1.1208333333333307</v>
      </c>
      <c r="U281">
        <f t="shared" ca="1" si="46"/>
        <v>3.3202888082838194E-2</v>
      </c>
      <c r="V281">
        <f t="shared" ca="1" si="47"/>
        <v>-1.3175009502330171</v>
      </c>
      <c r="W281">
        <f t="shared" ca="1" si="51"/>
        <v>-1.2842980621501789</v>
      </c>
      <c r="X281">
        <f t="shared" ca="1" si="52"/>
        <v>98.324366186364401</v>
      </c>
    </row>
    <row r="282" spans="1:24" x14ac:dyDescent="0.25">
      <c r="A282">
        <f t="shared" ca="1" si="43"/>
        <v>98.822882700880882</v>
      </c>
      <c r="N282">
        <f t="shared" si="48"/>
        <v>1.1249999999999973</v>
      </c>
      <c r="O282" cm="1">
        <f t="array" aca="1" ref="O282" ca="1">mu*dt_1*R281</f>
        <v>3.4471252758835336E-2</v>
      </c>
      <c r="P282">
        <f t="shared" ca="1" si="44"/>
        <v>8.2455254687790719E-2</v>
      </c>
      <c r="Q282">
        <f t="shared" ca="1" si="49"/>
        <v>0.11692650744662605</v>
      </c>
      <c r="R282">
        <f t="shared" ca="1" si="50"/>
        <v>103.53068478395262</v>
      </c>
      <c r="T282">
        <f t="shared" si="45"/>
        <v>1.1249999999999973</v>
      </c>
      <c r="U282">
        <f t="shared" ca="1" si="46"/>
        <v>3.2774788728788133E-2</v>
      </c>
      <c r="V282">
        <f t="shared" ca="1" si="47"/>
        <v>0.46574172578768752</v>
      </c>
      <c r="W282">
        <f t="shared" ca="1" si="51"/>
        <v>0.49851651451647566</v>
      </c>
      <c r="X282">
        <f t="shared" ca="1" si="52"/>
        <v>98.822882700880882</v>
      </c>
    </row>
    <row r="283" spans="1:24" x14ac:dyDescent="0.25">
      <c r="A283">
        <f t="shared" ca="1" si="43"/>
        <v>98.721129080670124</v>
      </c>
      <c r="N283">
        <f t="shared" si="48"/>
        <v>1.129166666666664</v>
      </c>
      <c r="O283" cm="1">
        <f t="array" aca="1" ref="O283" ca="1">mu*dt_1*R282</f>
        <v>3.4510228261317541E-2</v>
      </c>
      <c r="P283">
        <f t="shared" ca="1" si="44"/>
        <v>-2.3971202912984713</v>
      </c>
      <c r="Q283">
        <f t="shared" ca="1" si="49"/>
        <v>-2.3626100630371538</v>
      </c>
      <c r="R283">
        <f t="shared" ca="1" si="50"/>
        <v>101.16807472091547</v>
      </c>
      <c r="T283">
        <f t="shared" si="45"/>
        <v>1.129166666666664</v>
      </c>
      <c r="U283">
        <f t="shared" ca="1" si="46"/>
        <v>3.294096090029363E-2</v>
      </c>
      <c r="V283">
        <f t="shared" ca="1" si="47"/>
        <v>-0.13469458111104657</v>
      </c>
      <c r="W283">
        <f t="shared" ca="1" si="51"/>
        <v>-0.10175362021075293</v>
      </c>
      <c r="X283">
        <f t="shared" ca="1" si="52"/>
        <v>98.721129080670124</v>
      </c>
    </row>
    <row r="284" spans="1:24" x14ac:dyDescent="0.25">
      <c r="A284">
        <f t="shared" ca="1" si="43"/>
        <v>98.796606622671462</v>
      </c>
      <c r="N284">
        <f t="shared" si="48"/>
        <v>1.1333333333333306</v>
      </c>
      <c r="O284" cm="1">
        <f t="array" aca="1" ref="O284" ca="1">mu*dt_1*R283</f>
        <v>3.372269157363849E-2</v>
      </c>
      <c r="P284">
        <f t="shared" ca="1" si="44"/>
        <v>0.75673762023280799</v>
      </c>
      <c r="Q284">
        <f t="shared" ca="1" si="49"/>
        <v>0.79046031180644649</v>
      </c>
      <c r="R284">
        <f t="shared" ca="1" si="50"/>
        <v>101.95853503272191</v>
      </c>
      <c r="T284">
        <f t="shared" si="45"/>
        <v>1.1333333333333306</v>
      </c>
      <c r="U284">
        <f t="shared" ca="1" si="46"/>
        <v>3.2907043026890043E-2</v>
      </c>
      <c r="V284">
        <f t="shared" ca="1" si="47"/>
        <v>4.2570498974453939E-2</v>
      </c>
      <c r="W284">
        <f t="shared" ca="1" si="51"/>
        <v>7.5477542001343989E-2</v>
      </c>
      <c r="X284">
        <f t="shared" ca="1" si="52"/>
        <v>98.796606622671462</v>
      </c>
    </row>
    <row r="285" spans="1:24" x14ac:dyDescent="0.25">
      <c r="A285">
        <f t="shared" ca="1" si="43"/>
        <v>97.297149869845512</v>
      </c>
      <c r="N285">
        <f t="shared" si="48"/>
        <v>1.1374999999999973</v>
      </c>
      <c r="O285" cm="1">
        <f t="array" aca="1" ref="O285" ca="1">mu*dt_1*R284</f>
        <v>3.3986178344240635E-2</v>
      </c>
      <c r="P285">
        <f t="shared" ca="1" si="44"/>
        <v>1.5361104056576487</v>
      </c>
      <c r="Q285">
        <f t="shared" ca="1" si="49"/>
        <v>1.5700965840018892</v>
      </c>
      <c r="R285">
        <f t="shared" ca="1" si="50"/>
        <v>103.5286316167238</v>
      </c>
      <c r="T285">
        <f t="shared" si="45"/>
        <v>1.1374999999999973</v>
      </c>
      <c r="U285">
        <f t="shared" ca="1" si="46"/>
        <v>3.2932202207557153E-2</v>
      </c>
      <c r="V285">
        <f t="shared" ca="1" si="47"/>
        <v>-1.5323889550335126</v>
      </c>
      <c r="W285">
        <f t="shared" ca="1" si="51"/>
        <v>-1.4994567528259555</v>
      </c>
      <c r="X285">
        <f t="shared" ca="1" si="52"/>
        <v>97.297149869845512</v>
      </c>
    </row>
    <row r="286" spans="1:24" x14ac:dyDescent="0.25">
      <c r="A286">
        <f t="shared" ca="1" si="43"/>
        <v>99.728248880016267</v>
      </c>
      <c r="N286">
        <f t="shared" si="48"/>
        <v>1.1416666666666639</v>
      </c>
      <c r="O286" cm="1">
        <f t="array" aca="1" ref="O286" ca="1">mu*dt_1*R285</f>
        <v>3.4509543872241262E-2</v>
      </c>
      <c r="P286">
        <f t="shared" ca="1" si="44"/>
        <v>1.8829360802148289</v>
      </c>
      <c r="Q286">
        <f t="shared" ca="1" si="49"/>
        <v>1.9174456240870703</v>
      </c>
      <c r="R286">
        <f t="shared" ca="1" si="50"/>
        <v>105.44607724081087</v>
      </c>
      <c r="T286">
        <f t="shared" si="45"/>
        <v>1.1416666666666639</v>
      </c>
      <c r="U286">
        <f t="shared" ca="1" si="46"/>
        <v>3.2432383289948505E-2</v>
      </c>
      <c r="V286">
        <f t="shared" ca="1" si="47"/>
        <v>2.3986666268808099</v>
      </c>
      <c r="W286">
        <f t="shared" ca="1" si="51"/>
        <v>2.4310990101707586</v>
      </c>
      <c r="X286">
        <f t="shared" ca="1" si="52"/>
        <v>99.728248880016267</v>
      </c>
    </row>
    <row r="287" spans="1:24" x14ac:dyDescent="0.25">
      <c r="A287">
        <f t="shared" ca="1" si="43"/>
        <v>99.243119195100775</v>
      </c>
      <c r="N287">
        <f t="shared" si="48"/>
        <v>1.1458333333333306</v>
      </c>
      <c r="O287" cm="1">
        <f t="array" aca="1" ref="O287" ca="1">mu*dt_1*R286</f>
        <v>3.5148692413603619E-2</v>
      </c>
      <c r="P287">
        <f t="shared" ca="1" si="44"/>
        <v>9.5168690253466984E-2</v>
      </c>
      <c r="Q287">
        <f t="shared" ca="1" si="49"/>
        <v>0.1303173826670706</v>
      </c>
      <c r="R287">
        <f t="shared" ca="1" si="50"/>
        <v>105.57639462347794</v>
      </c>
      <c r="T287">
        <f t="shared" si="45"/>
        <v>1.1458333333333306</v>
      </c>
      <c r="U287">
        <f t="shared" ca="1" si="46"/>
        <v>3.3242749626672091E-2</v>
      </c>
      <c r="V287">
        <f t="shared" ca="1" si="47"/>
        <v>-0.51837243454216042</v>
      </c>
      <c r="W287">
        <f t="shared" ca="1" si="51"/>
        <v>-0.48512968491548836</v>
      </c>
      <c r="X287">
        <f t="shared" ca="1" si="52"/>
        <v>99.243119195100775</v>
      </c>
    </row>
    <row r="288" spans="1:24" x14ac:dyDescent="0.25">
      <c r="A288">
        <f t="shared" ca="1" si="43"/>
        <v>101.30979580576152</v>
      </c>
      <c r="N288">
        <f t="shared" si="48"/>
        <v>1.1499999999999972</v>
      </c>
      <c r="O288" cm="1">
        <f t="array" aca="1" ref="O288" ca="1">mu*dt_1*R287</f>
        <v>3.5192131541159313E-2</v>
      </c>
      <c r="P288">
        <f t="shared" ca="1" si="44"/>
        <v>0.66431685157416953</v>
      </c>
      <c r="Q288">
        <f t="shared" ca="1" si="49"/>
        <v>0.69950898311532883</v>
      </c>
      <c r="R288">
        <f t="shared" ca="1" si="50"/>
        <v>106.27590360659326</v>
      </c>
      <c r="T288">
        <f t="shared" si="45"/>
        <v>1.1499999999999972</v>
      </c>
      <c r="U288">
        <f t="shared" ca="1" si="46"/>
        <v>3.3081039731700262E-2</v>
      </c>
      <c r="V288">
        <f t="shared" ca="1" si="47"/>
        <v>2.0335955709290494</v>
      </c>
      <c r="W288">
        <f t="shared" ca="1" si="51"/>
        <v>2.0666766106607497</v>
      </c>
      <c r="X288">
        <f t="shared" ca="1" si="52"/>
        <v>101.30979580576152</v>
      </c>
    </row>
    <row r="289" spans="1:24" x14ac:dyDescent="0.25">
      <c r="A289">
        <f t="shared" ca="1" si="43"/>
        <v>103.69911475154525</v>
      </c>
      <c r="N289">
        <f t="shared" si="48"/>
        <v>1.1541666666666639</v>
      </c>
      <c r="O289" cm="1">
        <f t="array" aca="1" ref="O289" ca="1">mu*dt_1*R288</f>
        <v>3.5425301202197751E-2</v>
      </c>
      <c r="P289">
        <f t="shared" ca="1" si="44"/>
        <v>0.11234535909279081</v>
      </c>
      <c r="Q289">
        <f t="shared" ca="1" si="49"/>
        <v>0.14777066029498856</v>
      </c>
      <c r="R289">
        <f t="shared" ca="1" si="50"/>
        <v>106.42367426688826</v>
      </c>
      <c r="T289">
        <f t="shared" si="45"/>
        <v>1.1541666666666639</v>
      </c>
      <c r="U289">
        <f t="shared" ca="1" si="46"/>
        <v>3.3769931935253836E-2</v>
      </c>
      <c r="V289">
        <f t="shared" ca="1" si="47"/>
        <v>2.3555490138484725</v>
      </c>
      <c r="W289">
        <f t="shared" ca="1" si="51"/>
        <v>2.3893189457837263</v>
      </c>
      <c r="X289">
        <f t="shared" ca="1" si="52"/>
        <v>103.69911475154525</v>
      </c>
    </row>
    <row r="290" spans="1:24" x14ac:dyDescent="0.25">
      <c r="A290">
        <f t="shared" ca="1" si="43"/>
        <v>102.5707475697382</v>
      </c>
      <c r="N290">
        <f t="shared" si="48"/>
        <v>1.1583333333333306</v>
      </c>
      <c r="O290" cm="1">
        <f t="array" aca="1" ref="O290" ca="1">mu*dt_1*R289</f>
        <v>3.547455808896275E-2</v>
      </c>
      <c r="P290">
        <f t="shared" ca="1" si="44"/>
        <v>-1.2722468644534322</v>
      </c>
      <c r="Q290">
        <f t="shared" ca="1" si="49"/>
        <v>-1.2367723063644693</v>
      </c>
      <c r="R290">
        <f t="shared" ca="1" si="50"/>
        <v>105.18690196052378</v>
      </c>
      <c r="T290">
        <f t="shared" si="45"/>
        <v>1.1583333333333306</v>
      </c>
      <c r="U290">
        <f t="shared" ca="1" si="46"/>
        <v>3.456637158384842E-2</v>
      </c>
      <c r="V290">
        <f t="shared" ca="1" si="47"/>
        <v>-1.1629335533908989</v>
      </c>
      <c r="W290">
        <f t="shared" ca="1" si="51"/>
        <v>-1.1283671818070504</v>
      </c>
      <c r="X290">
        <f t="shared" ca="1" si="52"/>
        <v>102.5707475697382</v>
      </c>
    </row>
    <row r="291" spans="1:24" x14ac:dyDescent="0.25">
      <c r="A291">
        <f t="shared" ca="1" si="43"/>
        <v>102.21851405705213</v>
      </c>
      <c r="N291">
        <f t="shared" si="48"/>
        <v>1.1624999999999972</v>
      </c>
      <c r="O291" cm="1">
        <f t="array" aca="1" ref="O291" ca="1">mu*dt_1*R290</f>
        <v>3.5062300653507926E-2</v>
      </c>
      <c r="P291">
        <f t="shared" ca="1" si="44"/>
        <v>0.51511983066313449</v>
      </c>
      <c r="Q291">
        <f t="shared" ca="1" si="49"/>
        <v>0.5501821313166424</v>
      </c>
      <c r="R291">
        <f t="shared" ca="1" si="50"/>
        <v>105.73708409184043</v>
      </c>
      <c r="T291">
        <f t="shared" si="45"/>
        <v>1.1624999999999972</v>
      </c>
      <c r="U291">
        <f t="shared" ca="1" si="46"/>
        <v>3.4190249189912737E-2</v>
      </c>
      <c r="V291">
        <f t="shared" ca="1" si="47"/>
        <v>-0.38642376187598076</v>
      </c>
      <c r="W291">
        <f t="shared" ca="1" si="51"/>
        <v>-0.35223351268606801</v>
      </c>
      <c r="X291">
        <f t="shared" ca="1" si="52"/>
        <v>102.21851405705213</v>
      </c>
    </row>
    <row r="292" spans="1:24" x14ac:dyDescent="0.25">
      <c r="A292">
        <f t="shared" ca="1" si="43"/>
        <v>101.49257101724235</v>
      </c>
      <c r="N292">
        <f t="shared" si="48"/>
        <v>1.1666666666666639</v>
      </c>
      <c r="O292" cm="1">
        <f t="array" aca="1" ref="O292" ca="1">mu*dt_1*R291</f>
        <v>3.5245694697280144E-2</v>
      </c>
      <c r="P292">
        <f t="shared" ca="1" si="44"/>
        <v>-0.41165956049034064</v>
      </c>
      <c r="Q292">
        <f t="shared" ca="1" si="49"/>
        <v>-0.37641386579306046</v>
      </c>
      <c r="R292">
        <f t="shared" ca="1" si="50"/>
        <v>105.36067022604738</v>
      </c>
      <c r="T292">
        <f t="shared" si="45"/>
        <v>1.1666666666666639</v>
      </c>
      <c r="U292">
        <f t="shared" ca="1" si="46"/>
        <v>3.4072838019017379E-2</v>
      </c>
      <c r="V292">
        <f t="shared" ca="1" si="47"/>
        <v>-0.76001587782879609</v>
      </c>
      <c r="W292">
        <f t="shared" ca="1" si="51"/>
        <v>-0.7259430398097787</v>
      </c>
      <c r="X292">
        <f t="shared" ca="1" si="52"/>
        <v>101.49257101724235</v>
      </c>
    </row>
    <row r="293" spans="1:24" x14ac:dyDescent="0.25">
      <c r="A293">
        <f t="shared" ca="1" si="43"/>
        <v>102.89131244493672</v>
      </c>
      <c r="N293">
        <f t="shared" si="48"/>
        <v>1.1708333333333305</v>
      </c>
      <c r="O293" cm="1">
        <f t="array" aca="1" ref="O293" ca="1">mu*dt_1*R292</f>
        <v>3.5120223408682455E-2</v>
      </c>
      <c r="P293">
        <f t="shared" ca="1" si="44"/>
        <v>1.5075175186941971</v>
      </c>
      <c r="Q293">
        <f t="shared" ca="1" si="49"/>
        <v>1.5426377421028796</v>
      </c>
      <c r="R293">
        <f t="shared" ca="1" si="50"/>
        <v>106.90330796815026</v>
      </c>
      <c r="T293">
        <f t="shared" si="45"/>
        <v>1.1708333333333305</v>
      </c>
      <c r="U293">
        <f t="shared" ca="1" si="46"/>
        <v>3.383085700574745E-2</v>
      </c>
      <c r="V293">
        <f t="shared" ca="1" si="47"/>
        <v>1.3649105706886151</v>
      </c>
      <c r="W293">
        <f t="shared" ca="1" si="51"/>
        <v>1.3987414276943626</v>
      </c>
      <c r="X293">
        <f t="shared" ca="1" si="52"/>
        <v>102.89131244493672</v>
      </c>
    </row>
    <row r="294" spans="1:24" x14ac:dyDescent="0.25">
      <c r="A294">
        <f t="shared" ca="1" si="43"/>
        <v>102.00006399370538</v>
      </c>
      <c r="N294">
        <f t="shared" si="48"/>
        <v>1.1749999999999972</v>
      </c>
      <c r="O294" cm="1">
        <f t="array" aca="1" ref="O294" ca="1">mu*dt_1*R293</f>
        <v>3.5634435989383421E-2</v>
      </c>
      <c r="P294">
        <f t="shared" ca="1" si="44"/>
        <v>-0.18273280644976714</v>
      </c>
      <c r="Q294">
        <f t="shared" ca="1" si="49"/>
        <v>-0.14709837046038371</v>
      </c>
      <c r="R294">
        <f t="shared" ca="1" si="50"/>
        <v>106.75620959768987</v>
      </c>
      <c r="T294">
        <f t="shared" si="45"/>
        <v>1.1749999999999972</v>
      </c>
      <c r="U294">
        <f t="shared" ca="1" si="46"/>
        <v>3.4297104148312239E-2</v>
      </c>
      <c r="V294">
        <f t="shared" ca="1" si="47"/>
        <v>-0.92554555537965288</v>
      </c>
      <c r="W294">
        <f t="shared" ca="1" si="51"/>
        <v>-0.89124845123134067</v>
      </c>
      <c r="X294">
        <f t="shared" ca="1" si="52"/>
        <v>102.00006399370538</v>
      </c>
    </row>
    <row r="295" spans="1:24" x14ac:dyDescent="0.25">
      <c r="A295">
        <f t="shared" ca="1" si="43"/>
        <v>102.32900792528102</v>
      </c>
      <c r="N295">
        <f t="shared" si="48"/>
        <v>1.1791666666666638</v>
      </c>
      <c r="O295" cm="1">
        <f t="array" aca="1" ref="O295" ca="1">mu*dt_1*R294</f>
        <v>3.558540319922996E-2</v>
      </c>
      <c r="P295">
        <f t="shared" ca="1" si="44"/>
        <v>-2.6332946163603008</v>
      </c>
      <c r="Q295">
        <f t="shared" ca="1" si="49"/>
        <v>-2.5977092131610711</v>
      </c>
      <c r="R295">
        <f t="shared" ca="1" si="50"/>
        <v>104.15850038452881</v>
      </c>
      <c r="T295">
        <f t="shared" si="45"/>
        <v>1.1791666666666638</v>
      </c>
      <c r="U295">
        <f t="shared" ca="1" si="46"/>
        <v>3.4000021331235128E-2</v>
      </c>
      <c r="V295">
        <f t="shared" ca="1" si="47"/>
        <v>0.29494391024440819</v>
      </c>
      <c r="W295">
        <f t="shared" ca="1" si="51"/>
        <v>0.32894393157564333</v>
      </c>
      <c r="X295">
        <f t="shared" ca="1" si="52"/>
        <v>102.32900792528102</v>
      </c>
    </row>
    <row r="296" spans="1:24" x14ac:dyDescent="0.25">
      <c r="A296">
        <f t="shared" ca="1" si="43"/>
        <v>103.26682941390396</v>
      </c>
      <c r="N296">
        <f t="shared" si="48"/>
        <v>1.1833333333333305</v>
      </c>
      <c r="O296" cm="1">
        <f t="array" aca="1" ref="O296" ca="1">mu*dt_1*R295</f>
        <v>3.4719500128176269E-2</v>
      </c>
      <c r="P296">
        <f t="shared" ca="1" si="44"/>
        <v>2.5117582911062502</v>
      </c>
      <c r="Q296">
        <f t="shared" ca="1" si="49"/>
        <v>2.5464777912344263</v>
      </c>
      <c r="R296">
        <f t="shared" ca="1" si="50"/>
        <v>106.70497817576323</v>
      </c>
      <c r="T296">
        <f t="shared" si="45"/>
        <v>1.1833333333333305</v>
      </c>
      <c r="U296">
        <f t="shared" ca="1" si="46"/>
        <v>3.4109669308427001E-2</v>
      </c>
      <c r="V296">
        <f t="shared" ca="1" si="47"/>
        <v>0.90371181931452071</v>
      </c>
      <c r="W296">
        <f t="shared" ca="1" si="51"/>
        <v>0.93782148862294767</v>
      </c>
      <c r="X296">
        <f t="shared" ca="1" si="52"/>
        <v>103.26682941390396</v>
      </c>
    </row>
    <row r="297" spans="1:24" x14ac:dyDescent="0.25">
      <c r="A297">
        <f t="shared" ca="1" si="43"/>
        <v>104.80163306312794</v>
      </c>
      <c r="N297">
        <f t="shared" si="48"/>
        <v>1.1874999999999971</v>
      </c>
      <c r="O297" cm="1">
        <f t="array" aca="1" ref="O297" ca="1">mu*dt_1*R296</f>
        <v>3.5568326058587743E-2</v>
      </c>
      <c r="P297">
        <f t="shared" ca="1" si="44"/>
        <v>4.6614927388062374E-2</v>
      </c>
      <c r="Q297">
        <f t="shared" ca="1" si="49"/>
        <v>8.2183253446650117E-2</v>
      </c>
      <c r="R297">
        <f t="shared" ca="1" si="50"/>
        <v>106.78716142920987</v>
      </c>
      <c r="T297">
        <f t="shared" si="45"/>
        <v>1.1874999999999971</v>
      </c>
      <c r="U297">
        <f t="shared" ca="1" si="46"/>
        <v>3.4422276471301326E-2</v>
      </c>
      <c r="V297">
        <f t="shared" ca="1" si="47"/>
        <v>1.500381372752676</v>
      </c>
      <c r="W297">
        <f t="shared" ca="1" si="51"/>
        <v>1.5348036492239774</v>
      </c>
      <c r="X297">
        <f t="shared" ca="1" si="52"/>
        <v>104.80163306312794</v>
      </c>
    </row>
    <row r="298" spans="1:24" x14ac:dyDescent="0.25">
      <c r="A298">
        <f t="shared" ca="1" si="43"/>
        <v>103.69478051861651</v>
      </c>
      <c r="N298">
        <f t="shared" si="48"/>
        <v>1.1916666666666638</v>
      </c>
      <c r="O298" cm="1">
        <f t="array" aca="1" ref="O298" ca="1">mu*dt_1*R297</f>
        <v>3.5595720476403289E-2</v>
      </c>
      <c r="P298">
        <f t="shared" ca="1" si="44"/>
        <v>0.28106453683697769</v>
      </c>
      <c r="Q298">
        <f t="shared" ca="1" si="49"/>
        <v>0.31666025731338099</v>
      </c>
      <c r="R298">
        <f t="shared" ca="1" si="50"/>
        <v>107.10382168652326</v>
      </c>
      <c r="T298">
        <f t="shared" si="45"/>
        <v>1.1916666666666638</v>
      </c>
      <c r="U298">
        <f t="shared" ca="1" si="46"/>
        <v>3.4933877687709308E-2</v>
      </c>
      <c r="V298">
        <f t="shared" ca="1" si="47"/>
        <v>-1.141786422199139</v>
      </c>
      <c r="W298">
        <f t="shared" ca="1" si="51"/>
        <v>-1.1068525445114297</v>
      </c>
      <c r="X298">
        <f t="shared" ca="1" si="52"/>
        <v>103.69478051861651</v>
      </c>
    </row>
    <row r="299" spans="1:24" x14ac:dyDescent="0.25">
      <c r="A299">
        <f t="shared" ca="1" si="43"/>
        <v>106.14644192581511</v>
      </c>
      <c r="N299">
        <f t="shared" si="48"/>
        <v>1.1958333333333304</v>
      </c>
      <c r="O299" cm="1">
        <f t="array" aca="1" ref="O299" ca="1">mu*dt_1*R298</f>
        <v>3.570127389550775E-2</v>
      </c>
      <c r="P299">
        <f t="shared" ca="1" si="44"/>
        <v>0.48303955129423365</v>
      </c>
      <c r="Q299">
        <f t="shared" ca="1" si="49"/>
        <v>0.51874082518974141</v>
      </c>
      <c r="R299">
        <f t="shared" ca="1" si="50"/>
        <v>107.622562511713</v>
      </c>
      <c r="T299">
        <f t="shared" si="45"/>
        <v>1.1958333333333304</v>
      </c>
      <c r="U299">
        <f t="shared" ca="1" si="46"/>
        <v>3.4564926839538837E-2</v>
      </c>
      <c r="V299">
        <f t="shared" ca="1" si="47"/>
        <v>2.4170964803590596</v>
      </c>
      <c r="W299">
        <f t="shared" ca="1" si="51"/>
        <v>2.4516614071985985</v>
      </c>
      <c r="X299">
        <f t="shared" ca="1" si="52"/>
        <v>106.14644192581511</v>
      </c>
    </row>
    <row r="300" spans="1:24" x14ac:dyDescent="0.25">
      <c r="A300">
        <f t="shared" ca="1" si="43"/>
        <v>105.81708239924288</v>
      </c>
      <c r="N300">
        <f t="shared" si="48"/>
        <v>1.1999999999999971</v>
      </c>
      <c r="O300" cm="1">
        <f t="array" aca="1" ref="O300" ca="1">mu*dt_1*R299</f>
        <v>3.587418750390433E-2</v>
      </c>
      <c r="P300">
        <f t="shared" ca="1" si="44"/>
        <v>1.7161342289702657</v>
      </c>
      <c r="Q300">
        <f t="shared" ca="1" si="49"/>
        <v>1.75200841647417</v>
      </c>
      <c r="R300">
        <f t="shared" ca="1" si="50"/>
        <v>109.37457092818717</v>
      </c>
      <c r="T300">
        <f t="shared" si="45"/>
        <v>1.1999999999999971</v>
      </c>
      <c r="U300">
        <f t="shared" ca="1" si="46"/>
        <v>3.5382147308605033E-2</v>
      </c>
      <c r="V300">
        <f t="shared" ca="1" si="47"/>
        <v>-0.36474167388084222</v>
      </c>
      <c r="W300">
        <f t="shared" ca="1" si="51"/>
        <v>-0.32935952657223722</v>
      </c>
      <c r="X300">
        <f t="shared" ca="1" si="52"/>
        <v>105.81708239924288</v>
      </c>
    </row>
    <row r="301" spans="1:24" x14ac:dyDescent="0.25">
      <c r="A301">
        <f t="shared" ca="1" si="43"/>
        <v>105.24198269917848</v>
      </c>
      <c r="N301">
        <f t="shared" si="48"/>
        <v>1.2041666666666637</v>
      </c>
      <c r="O301" cm="1">
        <f t="array" aca="1" ref="O301" ca="1">mu*dt_1*R300</f>
        <v>3.6458190309395719E-2</v>
      </c>
      <c r="P301">
        <f t="shared" ca="1" si="44"/>
        <v>-0.98538331220713904</v>
      </c>
      <c r="Q301">
        <f t="shared" ca="1" si="49"/>
        <v>-0.94892512189774336</v>
      </c>
      <c r="R301">
        <f t="shared" ca="1" si="50"/>
        <v>108.42564580628942</v>
      </c>
      <c r="T301">
        <f t="shared" si="45"/>
        <v>1.2041666666666637</v>
      </c>
      <c r="U301">
        <f t="shared" ca="1" si="46"/>
        <v>3.5272360799747625E-2</v>
      </c>
      <c r="V301">
        <f t="shared" ca="1" si="47"/>
        <v>-0.61037206086415308</v>
      </c>
      <c r="W301">
        <f t="shared" ca="1" si="51"/>
        <v>-0.57509970006440547</v>
      </c>
      <c r="X301">
        <f t="shared" ca="1" si="52"/>
        <v>105.24198269917848</v>
      </c>
    </row>
    <row r="302" spans="1:24" x14ac:dyDescent="0.25">
      <c r="A302">
        <f t="shared" ca="1" si="43"/>
        <v>107.73463035675273</v>
      </c>
      <c r="N302">
        <f t="shared" si="48"/>
        <v>1.2083333333333304</v>
      </c>
      <c r="O302" cm="1">
        <f t="array" aca="1" ref="O302" ca="1">mu*dt_1*R301</f>
        <v>3.6141881935429804E-2</v>
      </c>
      <c r="P302">
        <f t="shared" ca="1" si="44"/>
        <v>-0.24128717891101065</v>
      </c>
      <c r="Q302">
        <f t="shared" ca="1" si="49"/>
        <v>-0.20514529697558084</v>
      </c>
      <c r="R302">
        <f t="shared" ca="1" si="50"/>
        <v>108.22050050931384</v>
      </c>
      <c r="T302">
        <f t="shared" si="45"/>
        <v>1.2083333333333304</v>
      </c>
      <c r="U302">
        <f t="shared" ca="1" si="46"/>
        <v>3.5080660899726161E-2</v>
      </c>
      <c r="V302">
        <f t="shared" ca="1" si="47"/>
        <v>2.457566996674533</v>
      </c>
      <c r="W302">
        <f t="shared" ca="1" si="51"/>
        <v>2.4926476575742593</v>
      </c>
      <c r="X302">
        <f t="shared" ca="1" si="52"/>
        <v>107.73463035675273</v>
      </c>
    </row>
    <row r="303" spans="1:24" x14ac:dyDescent="0.25">
      <c r="A303">
        <f t="shared" ca="1" si="43"/>
        <v>107.53134946734592</v>
      </c>
      <c r="N303">
        <f t="shared" si="48"/>
        <v>1.212499999999997</v>
      </c>
      <c r="O303" cm="1">
        <f t="array" aca="1" ref="O303" ca="1">mu*dt_1*R302</f>
        <v>3.6073500169771275E-2</v>
      </c>
      <c r="P303">
        <f t="shared" ca="1" si="44"/>
        <v>-0.7252245421376885</v>
      </c>
      <c r="Q303">
        <f t="shared" ca="1" si="49"/>
        <v>-0.68915104196791721</v>
      </c>
      <c r="R303">
        <f t="shared" ca="1" si="50"/>
        <v>107.53134946734592</v>
      </c>
      <c r="T303">
        <f t="shared" si="45"/>
        <v>1.212499999999997</v>
      </c>
      <c r="U303">
        <f t="shared" ca="1" si="46"/>
        <v>3.5911543452250907E-2</v>
      </c>
      <c r="V303">
        <f t="shared" ca="1" si="47"/>
        <v>1.914065307015308</v>
      </c>
      <c r="W303">
        <f t="shared" ca="1" si="51"/>
        <v>1.949976850467559</v>
      </c>
      <c r="X303">
        <f t="shared" ca="1" si="52"/>
        <v>109.6846072072203</v>
      </c>
    </row>
    <row r="304" spans="1:24" x14ac:dyDescent="0.25">
      <c r="A304">
        <f t="shared" ca="1" si="43"/>
        <v>108.0778962950001</v>
      </c>
      <c r="N304">
        <f t="shared" si="48"/>
        <v>1.2166666666666637</v>
      </c>
      <c r="O304" cm="1">
        <f t="array" aca="1" ref="O304" ca="1">mu*dt_1*R303</f>
        <v>3.5843783155781975E-2</v>
      </c>
      <c r="P304">
        <f t="shared" ca="1" si="44"/>
        <v>0.51070304449839943</v>
      </c>
      <c r="Q304">
        <f t="shared" ca="1" si="49"/>
        <v>0.54654682765418139</v>
      </c>
      <c r="R304">
        <f t="shared" ca="1" si="50"/>
        <v>108.0778962950001</v>
      </c>
      <c r="T304">
        <f t="shared" si="45"/>
        <v>1.2166666666666637</v>
      </c>
      <c r="U304">
        <f t="shared" ca="1" si="46"/>
        <v>3.65615357357401E-2</v>
      </c>
      <c r="V304">
        <f t="shared" ca="1" si="47"/>
        <v>-2.9099367428215454E-2</v>
      </c>
      <c r="W304">
        <f t="shared" ca="1" si="51"/>
        <v>7.4621683075246463E-3</v>
      </c>
      <c r="X304">
        <f t="shared" ca="1" si="52"/>
        <v>109.69206937552782</v>
      </c>
    </row>
    <row r="305" spans="1:24" x14ac:dyDescent="0.25">
      <c r="A305">
        <f t="shared" ca="1" si="43"/>
        <v>105.25038304443164</v>
      </c>
      <c r="N305">
        <f t="shared" si="48"/>
        <v>1.2208333333333303</v>
      </c>
      <c r="O305" cm="1">
        <f t="array" aca="1" ref="O305" ca="1">mu*dt_1*R304</f>
        <v>3.6025965431666702E-2</v>
      </c>
      <c r="P305">
        <f t="shared" ca="1" si="44"/>
        <v>-2.8635392160001247</v>
      </c>
      <c r="Q305">
        <f t="shared" ca="1" si="49"/>
        <v>-2.8275132505684581</v>
      </c>
      <c r="R305">
        <f t="shared" ca="1" si="50"/>
        <v>105.25038304443164</v>
      </c>
      <c r="T305">
        <f t="shared" si="45"/>
        <v>1.2208333333333303</v>
      </c>
      <c r="U305">
        <f t="shared" ca="1" si="46"/>
        <v>3.656402312517594E-2</v>
      </c>
      <c r="V305">
        <f t="shared" ca="1" si="47"/>
        <v>0.47937394311350645</v>
      </c>
      <c r="W305">
        <f t="shared" ca="1" si="51"/>
        <v>0.51593796623868238</v>
      </c>
      <c r="X305">
        <f t="shared" ca="1" si="52"/>
        <v>110.2080073417665</v>
      </c>
    </row>
    <row r="306" spans="1:24" x14ac:dyDescent="0.25">
      <c r="A306">
        <f t="shared" ca="1" si="43"/>
        <v>106.53628496798366</v>
      </c>
      <c r="N306">
        <f t="shared" si="48"/>
        <v>1.224999999999997</v>
      </c>
      <c r="O306" cm="1">
        <f t="array" aca="1" ref="O306" ca="1">mu*dt_1*R305</f>
        <v>3.5083461014810545E-2</v>
      </c>
      <c r="P306">
        <f t="shared" ca="1" si="44"/>
        <v>1.6539694466104382</v>
      </c>
      <c r="Q306">
        <f t="shared" ca="1" si="49"/>
        <v>1.6890529076252487</v>
      </c>
      <c r="R306">
        <f t="shared" ca="1" si="50"/>
        <v>106.9394359520569</v>
      </c>
      <c r="T306">
        <f t="shared" si="45"/>
        <v>1.224999999999997</v>
      </c>
      <c r="U306">
        <f t="shared" ca="1" si="46"/>
        <v>3.67360024472555E-2</v>
      </c>
      <c r="V306">
        <f t="shared" ca="1" si="47"/>
        <v>-3.7084583762300953</v>
      </c>
      <c r="W306">
        <f t="shared" ca="1" si="51"/>
        <v>-3.6717223737828397</v>
      </c>
      <c r="X306">
        <f t="shared" ca="1" si="52"/>
        <v>106.53628496798366</v>
      </c>
    </row>
    <row r="307" spans="1:24" x14ac:dyDescent="0.25">
      <c r="A307">
        <f t="shared" ca="1" si="43"/>
        <v>106.75279241693997</v>
      </c>
      <c r="N307">
        <f t="shared" si="48"/>
        <v>1.2291666666666636</v>
      </c>
      <c r="O307" cm="1">
        <f t="array" aca="1" ref="O307" ca="1">mu*dt_1*R306</f>
        <v>3.5646478650685633E-2</v>
      </c>
      <c r="P307">
        <f t="shared" ca="1" si="44"/>
        <v>0.84350339303153488</v>
      </c>
      <c r="Q307">
        <f t="shared" ca="1" si="49"/>
        <v>0.87914987168222047</v>
      </c>
      <c r="R307">
        <f t="shared" ca="1" si="50"/>
        <v>107.81858582373911</v>
      </c>
      <c r="T307">
        <f t="shared" si="45"/>
        <v>1.2291666666666636</v>
      </c>
      <c r="U307">
        <f t="shared" ca="1" si="46"/>
        <v>3.5512094989327884E-2</v>
      </c>
      <c r="V307">
        <f t="shared" ca="1" si="47"/>
        <v>0.18099535396697417</v>
      </c>
      <c r="W307">
        <f t="shared" ca="1" si="51"/>
        <v>0.21650744895630206</v>
      </c>
      <c r="X307">
        <f t="shared" ca="1" si="52"/>
        <v>106.75279241693997</v>
      </c>
    </row>
    <row r="308" spans="1:24" x14ac:dyDescent="0.25">
      <c r="A308">
        <f t="shared" ca="1" si="43"/>
        <v>105.87884159237264</v>
      </c>
      <c r="N308">
        <f t="shared" si="48"/>
        <v>1.2333333333333303</v>
      </c>
      <c r="O308" cm="1">
        <f t="array" aca="1" ref="O308" ca="1">mu*dt_1*R307</f>
        <v>3.5939528607913038E-2</v>
      </c>
      <c r="P308">
        <f t="shared" ca="1" si="44"/>
        <v>-1.206080907484395</v>
      </c>
      <c r="Q308">
        <f t="shared" ca="1" si="49"/>
        <v>-1.1701413788764821</v>
      </c>
      <c r="R308">
        <f t="shared" ca="1" si="50"/>
        <v>106.64844444486263</v>
      </c>
      <c r="T308">
        <f t="shared" si="45"/>
        <v>1.2333333333333303</v>
      </c>
      <c r="U308">
        <f t="shared" ca="1" si="46"/>
        <v>3.5584264138979992E-2</v>
      </c>
      <c r="V308">
        <f t="shared" ca="1" si="47"/>
        <v>-0.90953508870630939</v>
      </c>
      <c r="W308">
        <f t="shared" ca="1" si="51"/>
        <v>-0.87395082456732942</v>
      </c>
      <c r="X308">
        <f t="shared" ca="1" si="52"/>
        <v>105.87884159237264</v>
      </c>
    </row>
    <row r="309" spans="1:24" x14ac:dyDescent="0.25">
      <c r="A309">
        <f t="shared" ca="1" si="43"/>
        <v>106.43302639343065</v>
      </c>
      <c r="N309">
        <f t="shared" si="48"/>
        <v>1.2374999999999969</v>
      </c>
      <c r="O309" cm="1">
        <f t="array" aca="1" ref="O309" ca="1">mu*dt_1*R308</f>
        <v>3.5549481481620876E-2</v>
      </c>
      <c r="P309">
        <f t="shared" ca="1" si="44"/>
        <v>2.7734701531772843</v>
      </c>
      <c r="Q309">
        <f t="shared" ca="1" si="49"/>
        <v>2.8090196346589051</v>
      </c>
      <c r="R309">
        <f t="shared" ca="1" si="50"/>
        <v>109.45746407952154</v>
      </c>
      <c r="T309">
        <f t="shared" si="45"/>
        <v>1.2374999999999969</v>
      </c>
      <c r="U309">
        <f t="shared" ca="1" si="46"/>
        <v>3.5292947197457548E-2</v>
      </c>
      <c r="V309">
        <f t="shared" ca="1" si="47"/>
        <v>0.51889185386055048</v>
      </c>
      <c r="W309">
        <f t="shared" ca="1" si="51"/>
        <v>0.55418480105800805</v>
      </c>
      <c r="X309">
        <f t="shared" ca="1" si="52"/>
        <v>106.43302639343065</v>
      </c>
    </row>
    <row r="310" spans="1:24" x14ac:dyDescent="0.25">
      <c r="A310">
        <f t="shared" ca="1" si="43"/>
        <v>104.75978828431363</v>
      </c>
      <c r="N310">
        <f t="shared" si="48"/>
        <v>1.2416666666666636</v>
      </c>
      <c r="O310" cm="1">
        <f t="array" aca="1" ref="O310" ca="1">mu*dt_1*R309</f>
        <v>3.6485821359840513E-2</v>
      </c>
      <c r="P310">
        <f t="shared" ca="1" si="44"/>
        <v>-0.43981783784846668</v>
      </c>
      <c r="Q310">
        <f t="shared" ca="1" si="49"/>
        <v>-0.40333201648862615</v>
      </c>
      <c r="R310">
        <f t="shared" ca="1" si="50"/>
        <v>109.05413206303292</v>
      </c>
      <c r="T310">
        <f t="shared" si="45"/>
        <v>1.2416666666666636</v>
      </c>
      <c r="U310">
        <f t="shared" ca="1" si="46"/>
        <v>3.5477675464476888E-2</v>
      </c>
      <c r="V310">
        <f t="shared" ca="1" si="47"/>
        <v>-1.7087157845814933</v>
      </c>
      <c r="W310">
        <f t="shared" ca="1" si="51"/>
        <v>-1.6732381091170163</v>
      </c>
      <c r="X310">
        <f t="shared" ca="1" si="52"/>
        <v>104.75978828431363</v>
      </c>
    </row>
    <row r="311" spans="1:24" x14ac:dyDescent="0.25">
      <c r="A311">
        <f t="shared" ca="1" si="43"/>
        <v>103.18206504986125</v>
      </c>
      <c r="N311">
        <f t="shared" si="48"/>
        <v>1.2458333333333302</v>
      </c>
      <c r="O311" cm="1">
        <f t="array" aca="1" ref="O311" ca="1">mu*dt_1*R310</f>
        <v>3.6351377354344308E-2</v>
      </c>
      <c r="P311">
        <f t="shared" ca="1" si="44"/>
        <v>-3.4119184637129019</v>
      </c>
      <c r="Q311">
        <f t="shared" ca="1" si="49"/>
        <v>-3.3755670863585574</v>
      </c>
      <c r="R311">
        <f t="shared" ca="1" si="50"/>
        <v>105.67856497667437</v>
      </c>
      <c r="T311">
        <f t="shared" si="45"/>
        <v>1.2458333333333302</v>
      </c>
      <c r="U311">
        <f t="shared" ca="1" si="46"/>
        <v>3.491992942810454E-2</v>
      </c>
      <c r="V311">
        <f t="shared" ca="1" si="47"/>
        <v>-1.612643163880477</v>
      </c>
      <c r="W311">
        <f t="shared" ca="1" si="51"/>
        <v>-1.5777232344523724</v>
      </c>
      <c r="X311">
        <f t="shared" ca="1" si="52"/>
        <v>103.18206504986125</v>
      </c>
    </row>
    <row r="312" spans="1:24" x14ac:dyDescent="0.25">
      <c r="A312">
        <f t="shared" ca="1" si="43"/>
        <v>100.7333926895629</v>
      </c>
      <c r="N312">
        <f t="shared" si="48"/>
        <v>1.2499999999999969</v>
      </c>
      <c r="O312" cm="1">
        <f t="array" aca="1" ref="O312" ca="1">mu*dt_1*R311</f>
        <v>3.5226188325558121E-2</v>
      </c>
      <c r="P312">
        <f t="shared" ca="1" si="44"/>
        <v>1.3346005858433458</v>
      </c>
      <c r="Q312">
        <f t="shared" ca="1" si="49"/>
        <v>1.3698267741689039</v>
      </c>
      <c r="R312">
        <f t="shared" ca="1" si="50"/>
        <v>107.04839175084327</v>
      </c>
      <c r="T312">
        <f t="shared" si="45"/>
        <v>1.2499999999999969</v>
      </c>
      <c r="U312">
        <f t="shared" ca="1" si="46"/>
        <v>3.4394021683287083E-2</v>
      </c>
      <c r="V312">
        <f t="shared" ca="1" si="47"/>
        <v>-2.4830663819816281</v>
      </c>
      <c r="W312">
        <f t="shared" ca="1" si="51"/>
        <v>-2.4486723602983411</v>
      </c>
      <c r="X312">
        <f t="shared" ca="1" si="52"/>
        <v>100.7333926895629</v>
      </c>
    </row>
    <row r="313" spans="1:24" x14ac:dyDescent="0.25">
      <c r="A313">
        <f t="shared" ca="1" si="43"/>
        <v>100.06316750461124</v>
      </c>
      <c r="N313">
        <f t="shared" si="48"/>
        <v>1.2541666666666635</v>
      </c>
      <c r="O313" cm="1">
        <f t="array" aca="1" ref="O313" ca="1">mu*dt_1*R312</f>
        <v>3.568279725028109E-2</v>
      </c>
      <c r="P313">
        <f t="shared" ca="1" si="44"/>
        <v>1.4386419721649744</v>
      </c>
      <c r="Q313">
        <f t="shared" ca="1" si="49"/>
        <v>1.4743247694152555</v>
      </c>
      <c r="R313">
        <f t="shared" ca="1" si="50"/>
        <v>108.52271652025853</v>
      </c>
      <c r="T313">
        <f t="shared" si="45"/>
        <v>1.2541666666666635</v>
      </c>
      <c r="U313">
        <f t="shared" ca="1" si="46"/>
        <v>3.3577797563187642E-2</v>
      </c>
      <c r="V313">
        <f t="shared" ca="1" si="47"/>
        <v>-0.70380298251485207</v>
      </c>
      <c r="W313">
        <f t="shared" ca="1" si="51"/>
        <v>-0.67022518495166439</v>
      </c>
      <c r="X313">
        <f t="shared" ca="1" si="52"/>
        <v>100.06316750461124</v>
      </c>
    </row>
    <row r="314" spans="1:24" x14ac:dyDescent="0.25">
      <c r="A314">
        <f t="shared" ca="1" si="43"/>
        <v>100.79872785543412</v>
      </c>
      <c r="N314">
        <f t="shared" si="48"/>
        <v>1.2583333333333302</v>
      </c>
      <c r="O314" cm="1">
        <f t="array" aca="1" ref="O314" ca="1">mu*dt_1*R313</f>
        <v>3.6174238840086172E-2</v>
      </c>
      <c r="P314">
        <f t="shared" ca="1" si="44"/>
        <v>2.8088377729202914</v>
      </c>
      <c r="Q314">
        <f t="shared" ca="1" si="49"/>
        <v>2.8450120117603777</v>
      </c>
      <c r="R314">
        <f t="shared" ca="1" si="50"/>
        <v>111.3677285320189</v>
      </c>
      <c r="T314">
        <f t="shared" si="45"/>
        <v>1.2583333333333302</v>
      </c>
      <c r="U314">
        <f t="shared" ca="1" si="46"/>
        <v>3.3354389168203748E-2</v>
      </c>
      <c r="V314">
        <f t="shared" ca="1" si="47"/>
        <v>0.70220596165467297</v>
      </c>
      <c r="W314">
        <f t="shared" ca="1" si="51"/>
        <v>0.73556035082287674</v>
      </c>
      <c r="X314">
        <f t="shared" ca="1" si="52"/>
        <v>100.79872785543412</v>
      </c>
    </row>
    <row r="315" spans="1:24" x14ac:dyDescent="0.25">
      <c r="A315">
        <f t="shared" ca="1" si="43"/>
        <v>98.07814360151913</v>
      </c>
      <c r="N315">
        <f t="shared" si="48"/>
        <v>1.2624999999999968</v>
      </c>
      <c r="O315" cm="1">
        <f t="array" aca="1" ref="O315" ca="1">mu*dt_1*R314</f>
        <v>3.7122576177339633E-2</v>
      </c>
      <c r="P315">
        <f t="shared" ca="1" si="44"/>
        <v>-1.3786659705537267</v>
      </c>
      <c r="Q315">
        <f t="shared" ca="1" si="49"/>
        <v>-1.341543394376387</v>
      </c>
      <c r="R315">
        <f t="shared" ca="1" si="50"/>
        <v>110.02618513764251</v>
      </c>
      <c r="T315">
        <f t="shared" si="45"/>
        <v>1.2624999999999968</v>
      </c>
      <c r="U315">
        <f t="shared" ca="1" si="46"/>
        <v>3.3599575951811379E-2</v>
      </c>
      <c r="V315">
        <f t="shared" ca="1" si="47"/>
        <v>-2.7541838298668062</v>
      </c>
      <c r="W315">
        <f t="shared" ca="1" si="51"/>
        <v>-2.7205842539149949</v>
      </c>
      <c r="X315">
        <f t="shared" ca="1" si="52"/>
        <v>98.07814360151913</v>
      </c>
    </row>
    <row r="316" spans="1:24" x14ac:dyDescent="0.25">
      <c r="A316">
        <f t="shared" ca="1" si="43"/>
        <v>96.815884155578487</v>
      </c>
      <c r="N316">
        <f t="shared" si="48"/>
        <v>1.2666666666666635</v>
      </c>
      <c r="O316" cm="1">
        <f t="array" aca="1" ref="O316" ca="1">mu*dt_1*R315</f>
        <v>3.6675395045880833E-2</v>
      </c>
      <c r="P316">
        <f t="shared" ca="1" si="44"/>
        <v>0.15233488017895236</v>
      </c>
      <c r="Q316">
        <f t="shared" ca="1" si="49"/>
        <v>0.18901027522483319</v>
      </c>
      <c r="R316">
        <f t="shared" ca="1" si="50"/>
        <v>110.21519541286735</v>
      </c>
      <c r="T316">
        <f t="shared" si="45"/>
        <v>1.2666666666666635</v>
      </c>
      <c r="U316">
        <f t="shared" ca="1" si="46"/>
        <v>3.2692714533839706E-2</v>
      </c>
      <c r="V316">
        <f t="shared" ca="1" si="47"/>
        <v>-1.2949521604744794</v>
      </c>
      <c r="W316">
        <f t="shared" ca="1" si="51"/>
        <v>-1.2622594459406398</v>
      </c>
      <c r="X316">
        <f t="shared" ca="1" si="52"/>
        <v>96.815884155578487</v>
      </c>
    </row>
    <row r="317" spans="1:24" x14ac:dyDescent="0.25">
      <c r="A317">
        <f t="shared" ca="1" si="43"/>
        <v>97.444236327700466</v>
      </c>
      <c r="N317">
        <f t="shared" si="48"/>
        <v>1.2708333333333302</v>
      </c>
      <c r="O317" cm="1">
        <f t="array" aca="1" ref="O317" ca="1">mu*dt_1*R316</f>
        <v>3.673839847095578E-2</v>
      </c>
      <c r="P317">
        <f t="shared" ca="1" si="44"/>
        <v>2.2709142003550284</v>
      </c>
      <c r="Q317">
        <f t="shared" ca="1" si="49"/>
        <v>2.3076525988259844</v>
      </c>
      <c r="R317">
        <f t="shared" ca="1" si="50"/>
        <v>112.52284801169333</v>
      </c>
      <c r="T317">
        <f t="shared" si="45"/>
        <v>1.2708333333333302</v>
      </c>
      <c r="U317">
        <f t="shared" ca="1" si="46"/>
        <v>3.2271961385192831E-2</v>
      </c>
      <c r="V317">
        <f t="shared" ca="1" si="47"/>
        <v>0.59608021073679041</v>
      </c>
      <c r="W317">
        <f t="shared" ca="1" si="51"/>
        <v>0.62835217212198324</v>
      </c>
      <c r="X317">
        <f t="shared" ca="1" si="52"/>
        <v>97.444236327700466</v>
      </c>
    </row>
    <row r="318" spans="1:24" x14ac:dyDescent="0.25">
      <c r="A318">
        <f t="shared" ca="1" si="43"/>
        <v>97.991877457229222</v>
      </c>
      <c r="N318">
        <f t="shared" si="48"/>
        <v>1.2749999999999968</v>
      </c>
      <c r="O318" cm="1">
        <f t="array" aca="1" ref="O318" ca="1">mu*dt_1*R317</f>
        <v>3.7507616003897772E-2</v>
      </c>
      <c r="P318">
        <f t="shared" ca="1" si="44"/>
        <v>1.6460237150973236</v>
      </c>
      <c r="Q318">
        <f t="shared" ca="1" si="49"/>
        <v>1.6835313311012214</v>
      </c>
      <c r="R318">
        <f t="shared" ca="1" si="50"/>
        <v>114.20637934279455</v>
      </c>
      <c r="T318">
        <f t="shared" si="45"/>
        <v>1.2749999999999968</v>
      </c>
      <c r="U318">
        <f t="shared" ca="1" si="46"/>
        <v>3.2481412109233491E-2</v>
      </c>
      <c r="V318">
        <f t="shared" ca="1" si="47"/>
        <v>0.51515971741952671</v>
      </c>
      <c r="W318">
        <f t="shared" ca="1" si="51"/>
        <v>0.54764112952876021</v>
      </c>
      <c r="X318">
        <f t="shared" ca="1" si="52"/>
        <v>97.991877457229222</v>
      </c>
    </row>
    <row r="319" spans="1:24" x14ac:dyDescent="0.25">
      <c r="A319">
        <f t="shared" ca="1" si="43"/>
        <v>99.466773494112815</v>
      </c>
      <c r="N319">
        <f t="shared" si="48"/>
        <v>1.2791666666666635</v>
      </c>
      <c r="O319" cm="1">
        <f t="array" aca="1" ref="O319" ca="1">mu*dt_1*R318</f>
        <v>3.8068793114264851E-2</v>
      </c>
      <c r="P319">
        <f t="shared" ca="1" si="44"/>
        <v>-4.8226525037839751E-2</v>
      </c>
      <c r="Q319">
        <f t="shared" ca="1" si="49"/>
        <v>-1.01577319235749E-2</v>
      </c>
      <c r="R319">
        <f t="shared" ca="1" si="50"/>
        <v>114.19622161087098</v>
      </c>
      <c r="T319">
        <f t="shared" si="45"/>
        <v>1.2791666666666635</v>
      </c>
      <c r="U319">
        <f t="shared" ca="1" si="46"/>
        <v>3.2663959152409744E-2</v>
      </c>
      <c r="V319">
        <f t="shared" ca="1" si="47"/>
        <v>1.4422320777311852</v>
      </c>
      <c r="W319">
        <f t="shared" ca="1" si="51"/>
        <v>1.4748960368835951</v>
      </c>
      <c r="X319">
        <f t="shared" ca="1" si="52"/>
        <v>99.466773494112815</v>
      </c>
    </row>
    <row r="320" spans="1:24" x14ac:dyDescent="0.25">
      <c r="A320">
        <f t="shared" ca="1" si="43"/>
        <v>98.015143213022512</v>
      </c>
      <c r="N320">
        <f t="shared" si="48"/>
        <v>1.2833333333333301</v>
      </c>
      <c r="O320" cm="1">
        <f t="array" aca="1" ref="O320" ca="1">mu*dt_1*R319</f>
        <v>3.8065407203623655E-2</v>
      </c>
      <c r="P320">
        <f t="shared" ca="1" si="44"/>
        <v>0.70971162251143205</v>
      </c>
      <c r="Q320">
        <f t="shared" ca="1" si="49"/>
        <v>0.74777702971505566</v>
      </c>
      <c r="R320">
        <f t="shared" ca="1" si="50"/>
        <v>114.94399864058603</v>
      </c>
      <c r="T320">
        <f t="shared" si="45"/>
        <v>1.2833333333333301</v>
      </c>
      <c r="U320">
        <f t="shared" ca="1" si="46"/>
        <v>3.3155591164704269E-2</v>
      </c>
      <c r="V320">
        <f t="shared" ca="1" si="47"/>
        <v>-1.4847858722550069</v>
      </c>
      <c r="W320">
        <f t="shared" ca="1" si="51"/>
        <v>-1.4516302810903026</v>
      </c>
      <c r="X320">
        <f t="shared" ca="1" si="52"/>
        <v>98.015143213022512</v>
      </c>
    </row>
    <row r="321" spans="1:24" x14ac:dyDescent="0.25">
      <c r="A321">
        <f t="shared" ca="1" si="43"/>
        <v>99.119149604523187</v>
      </c>
      <c r="N321">
        <f t="shared" si="48"/>
        <v>1.2874999999999968</v>
      </c>
      <c r="O321" cm="1">
        <f t="array" aca="1" ref="O321" ca="1">mu*dt_1*R320</f>
        <v>3.8314666213528678E-2</v>
      </c>
      <c r="P321">
        <f t="shared" ca="1" si="44"/>
        <v>-0.50890475422065529</v>
      </c>
      <c r="Q321">
        <f t="shared" ca="1" si="49"/>
        <v>-0.47059008800712659</v>
      </c>
      <c r="R321">
        <f t="shared" ca="1" si="50"/>
        <v>114.4734085525789</v>
      </c>
      <c r="T321">
        <f t="shared" si="45"/>
        <v>1.2874999999999968</v>
      </c>
      <c r="U321">
        <f t="shared" ca="1" si="46"/>
        <v>3.2671714404340836E-2</v>
      </c>
      <c r="V321">
        <f t="shared" ca="1" si="47"/>
        <v>1.0713346770963346</v>
      </c>
      <c r="W321">
        <f t="shared" ca="1" si="51"/>
        <v>1.1040063915006755</v>
      </c>
      <c r="X321">
        <f t="shared" ca="1" si="52"/>
        <v>99.119149604523187</v>
      </c>
    </row>
    <row r="322" spans="1:24" x14ac:dyDescent="0.25">
      <c r="A322">
        <f t="shared" ca="1" si="43"/>
        <v>100.45360957413349</v>
      </c>
      <c r="N322">
        <f t="shared" si="48"/>
        <v>1.2916666666666634</v>
      </c>
      <c r="O322" cm="1">
        <f t="array" aca="1" ref="O322" ca="1">mu*dt_1*R321</f>
        <v>3.815780285085963E-2</v>
      </c>
      <c r="P322">
        <f t="shared" ca="1" si="44"/>
        <v>-1.7931194349320629</v>
      </c>
      <c r="Q322">
        <f t="shared" ca="1" si="49"/>
        <v>-1.7549616320812034</v>
      </c>
      <c r="R322">
        <f t="shared" ca="1" si="50"/>
        <v>112.7184469204977</v>
      </c>
      <c r="T322">
        <f t="shared" si="45"/>
        <v>1.2916666666666634</v>
      </c>
      <c r="U322">
        <f t="shared" ca="1" si="46"/>
        <v>3.3039716534841064E-2</v>
      </c>
      <c r="V322">
        <f t="shared" ca="1" si="47"/>
        <v>1.3014202530754657</v>
      </c>
      <c r="W322">
        <f t="shared" ca="1" si="51"/>
        <v>1.3344599696103068</v>
      </c>
      <c r="X322">
        <f t="shared" ca="1" si="52"/>
        <v>100.45360957413349</v>
      </c>
    </row>
    <row r="323" spans="1:24" x14ac:dyDescent="0.25">
      <c r="A323">
        <f t="shared" ca="1" si="43"/>
        <v>100.04380971457914</v>
      </c>
      <c r="N323">
        <f t="shared" si="48"/>
        <v>1.2958333333333301</v>
      </c>
      <c r="O323" cm="1">
        <f t="array" aca="1" ref="O323" ca="1">mu*dt_1*R322</f>
        <v>3.7572815640165895E-2</v>
      </c>
      <c r="P323">
        <f t="shared" ca="1" si="44"/>
        <v>2.0920106468551141</v>
      </c>
      <c r="Q323">
        <f t="shared" ca="1" si="49"/>
        <v>2.1295834624952801</v>
      </c>
      <c r="R323">
        <f t="shared" ca="1" si="50"/>
        <v>114.84803038299297</v>
      </c>
      <c r="T323">
        <f t="shared" si="45"/>
        <v>1.2958333333333301</v>
      </c>
      <c r="U323">
        <f t="shared" ca="1" si="46"/>
        <v>3.3484536524711166E-2</v>
      </c>
      <c r="V323">
        <f t="shared" ca="1" si="47"/>
        <v>-0.44328439607906339</v>
      </c>
      <c r="W323">
        <f t="shared" ca="1" si="51"/>
        <v>-0.40979985955435222</v>
      </c>
      <c r="X323">
        <f t="shared" ca="1" si="52"/>
        <v>100.04380971457914</v>
      </c>
    </row>
    <row r="324" spans="1:24" x14ac:dyDescent="0.25">
      <c r="A324">
        <f t="shared" ca="1" si="43"/>
        <v>100.08800614589354</v>
      </c>
      <c r="N324">
        <f t="shared" si="48"/>
        <v>1.2999999999999967</v>
      </c>
      <c r="O324" cm="1">
        <f t="array" aca="1" ref="O324" ca="1">mu*dt_1*R323</f>
        <v>3.8282676794330991E-2</v>
      </c>
      <c r="P324">
        <f t="shared" ca="1" si="44"/>
        <v>-1.1052671941434</v>
      </c>
      <c r="Q324">
        <f t="shared" ca="1" si="49"/>
        <v>-1.0669845173490691</v>
      </c>
      <c r="R324">
        <f t="shared" ca="1" si="50"/>
        <v>113.7810458656439</v>
      </c>
      <c r="T324">
        <f t="shared" si="45"/>
        <v>1.2999999999999967</v>
      </c>
      <c r="U324">
        <f t="shared" ca="1" si="46"/>
        <v>3.3347936571526376E-2</v>
      </c>
      <c r="V324">
        <f t="shared" ca="1" si="47"/>
        <v>1.0848494742879418E-2</v>
      </c>
      <c r="W324">
        <f t="shared" ca="1" si="51"/>
        <v>4.4196431314405794E-2</v>
      </c>
      <c r="X324">
        <f t="shared" ca="1" si="52"/>
        <v>100.08800614589354</v>
      </c>
    </row>
    <row r="325" spans="1:24" x14ac:dyDescent="0.25">
      <c r="A325">
        <f t="shared" ca="1" si="43"/>
        <v>99.860580811625127</v>
      </c>
      <c r="N325">
        <f t="shared" si="48"/>
        <v>1.3041666666666634</v>
      </c>
      <c r="O325" cm="1">
        <f t="array" aca="1" ref="O325" ca="1">mu*dt_1*R324</f>
        <v>3.7927015288547965E-2</v>
      </c>
      <c r="P325">
        <f t="shared" ca="1" si="44"/>
        <v>2.8155265088154593</v>
      </c>
      <c r="Q325">
        <f t="shared" ca="1" si="49"/>
        <v>2.8534535241040073</v>
      </c>
      <c r="R325">
        <f t="shared" ca="1" si="50"/>
        <v>116.63449938974792</v>
      </c>
      <c r="T325">
        <f t="shared" si="45"/>
        <v>1.3041666666666634</v>
      </c>
      <c r="U325">
        <f t="shared" ca="1" si="46"/>
        <v>3.3362668715297847E-2</v>
      </c>
      <c r="V325">
        <f t="shared" ca="1" si="47"/>
        <v>-0.26078800298372118</v>
      </c>
      <c r="W325">
        <f t="shared" ca="1" si="51"/>
        <v>-0.22742533426842332</v>
      </c>
      <c r="X325">
        <f t="shared" ca="1" si="52"/>
        <v>99.860580811625127</v>
      </c>
    </row>
    <row r="326" spans="1:24" x14ac:dyDescent="0.25">
      <c r="A326">
        <f t="shared" ca="1" si="43"/>
        <v>100.02532720191304</v>
      </c>
      <c r="N326">
        <f t="shared" si="48"/>
        <v>1.30833333333333</v>
      </c>
      <c r="O326" cm="1">
        <f t="array" aca="1" ref="O326" ca="1">mu*dt_1*R325</f>
        <v>3.8878166463249306E-2</v>
      </c>
      <c r="P326">
        <f t="shared" ca="1" si="44"/>
        <v>0.8883289592887178</v>
      </c>
      <c r="Q326">
        <f t="shared" ca="1" si="49"/>
        <v>0.92720712575196707</v>
      </c>
      <c r="R326">
        <f t="shared" ca="1" si="50"/>
        <v>117.56170651549988</v>
      </c>
      <c r="T326">
        <f t="shared" si="45"/>
        <v>1.30833333333333</v>
      </c>
      <c r="U326">
        <f t="shared" ca="1" si="46"/>
        <v>3.3286860270541709E-2</v>
      </c>
      <c r="V326">
        <f t="shared" ca="1" si="47"/>
        <v>0.13145953001737617</v>
      </c>
      <c r="W326">
        <f t="shared" ca="1" si="51"/>
        <v>0.16474639028791788</v>
      </c>
      <c r="X326">
        <f t="shared" ca="1" si="52"/>
        <v>100.02532720191304</v>
      </c>
    </row>
    <row r="327" spans="1:24" x14ac:dyDescent="0.25">
      <c r="A327">
        <f t="shared" ca="1" si="43"/>
        <v>99.35691602483891</v>
      </c>
      <c r="N327">
        <f t="shared" si="48"/>
        <v>1.3124999999999967</v>
      </c>
      <c r="O327" cm="1">
        <f t="array" aca="1" ref="O327" ca="1">mu*dt_1*R326</f>
        <v>3.9187235505166625E-2</v>
      </c>
      <c r="P327">
        <f t="shared" ca="1" si="44"/>
        <v>-0.24267884510086155</v>
      </c>
      <c r="Q327">
        <f t="shared" ca="1" si="49"/>
        <v>-0.20349160959569493</v>
      </c>
      <c r="R327">
        <f t="shared" ca="1" si="50"/>
        <v>117.35821490590418</v>
      </c>
      <c r="T327">
        <f t="shared" si="45"/>
        <v>1.3124999999999967</v>
      </c>
      <c r="U327">
        <f t="shared" ca="1" si="46"/>
        <v>3.3341775733971013E-2</v>
      </c>
      <c r="V327">
        <f t="shared" ca="1" si="47"/>
        <v>-0.70175295280810523</v>
      </c>
      <c r="W327">
        <f t="shared" ca="1" si="51"/>
        <v>-0.66841117707413422</v>
      </c>
      <c r="X327">
        <f t="shared" ca="1" si="52"/>
        <v>99.35691602483891</v>
      </c>
    </row>
    <row r="328" spans="1:24" x14ac:dyDescent="0.25">
      <c r="A328">
        <f t="shared" ca="1" si="43"/>
        <v>98.397974060069686</v>
      </c>
      <c r="N328">
        <f t="shared" si="48"/>
        <v>1.3166666666666633</v>
      </c>
      <c r="O328" cm="1">
        <f t="array" aca="1" ref="O328" ca="1">mu*dt_1*R327</f>
        <v>3.9119404968634724E-2</v>
      </c>
      <c r="P328">
        <f t="shared" ca="1" si="44"/>
        <v>0.55544515076602163</v>
      </c>
      <c r="Q328">
        <f t="shared" ca="1" si="49"/>
        <v>0.59456455573465639</v>
      </c>
      <c r="R328">
        <f t="shared" ca="1" si="50"/>
        <v>117.95277946163883</v>
      </c>
      <c r="T328">
        <f t="shared" si="45"/>
        <v>1.3166666666666633</v>
      </c>
      <c r="U328">
        <f t="shared" ca="1" si="46"/>
        <v>3.3118972008279637E-2</v>
      </c>
      <c r="V328">
        <f t="shared" ca="1" si="47"/>
        <v>-0.99206093677750551</v>
      </c>
      <c r="W328">
        <f t="shared" ca="1" si="51"/>
        <v>-0.95894196476922589</v>
      </c>
      <c r="X328">
        <f t="shared" ca="1" si="52"/>
        <v>98.397974060069686</v>
      </c>
    </row>
    <row r="329" spans="1:24" x14ac:dyDescent="0.25">
      <c r="A329">
        <f t="shared" ca="1" si="43"/>
        <v>98.16714878209271</v>
      </c>
      <c r="N329">
        <f t="shared" si="48"/>
        <v>1.32083333333333</v>
      </c>
      <c r="O329" cm="1">
        <f t="array" aca="1" ref="O329" ca="1">mu*dt_1*R328</f>
        <v>3.9317593153879608E-2</v>
      </c>
      <c r="P329">
        <f t="shared" ca="1" si="44"/>
        <v>2.2367614695348417</v>
      </c>
      <c r="Q329">
        <f t="shared" ca="1" si="49"/>
        <v>2.2760790626887211</v>
      </c>
      <c r="R329">
        <f t="shared" ca="1" si="50"/>
        <v>120.22885852432755</v>
      </c>
      <c r="T329">
        <f t="shared" si="45"/>
        <v>1.32083333333333</v>
      </c>
      <c r="U329">
        <f t="shared" ca="1" si="46"/>
        <v>3.2799324686689897E-2</v>
      </c>
      <c r="V329">
        <f t="shared" ca="1" si="47"/>
        <v>-0.26362460266366311</v>
      </c>
      <c r="W329">
        <f t="shared" ca="1" si="51"/>
        <v>-0.23082527797697322</v>
      </c>
      <c r="X329">
        <f t="shared" ca="1" si="52"/>
        <v>98.16714878209271</v>
      </c>
    </row>
    <row r="330" spans="1:24" x14ac:dyDescent="0.25">
      <c r="A330">
        <f t="shared" ca="1" si="43"/>
        <v>100.84290111554714</v>
      </c>
      <c r="N330">
        <f t="shared" si="48"/>
        <v>1.3249999999999966</v>
      </c>
      <c r="O330" cm="1">
        <f t="array" aca="1" ref="O330" ca="1">mu*dt_1*R329</f>
        <v>4.0076286174775849E-2</v>
      </c>
      <c r="P330">
        <f t="shared" ca="1" si="44"/>
        <v>-0.28397969839254966</v>
      </c>
      <c r="Q330">
        <f t="shared" ca="1" si="49"/>
        <v>-0.24390341221777381</v>
      </c>
      <c r="R330">
        <f t="shared" ca="1" si="50"/>
        <v>119.98495511210977</v>
      </c>
      <c r="T330">
        <f t="shared" si="45"/>
        <v>1.3249999999999966</v>
      </c>
      <c r="U330">
        <f t="shared" ca="1" si="46"/>
        <v>3.2722382927364235E-2</v>
      </c>
      <c r="V330">
        <f t="shared" ca="1" si="47"/>
        <v>2.6430299505270574</v>
      </c>
      <c r="W330">
        <f t="shared" ca="1" si="51"/>
        <v>2.6757523334544215</v>
      </c>
      <c r="X330">
        <f t="shared" ca="1" si="52"/>
        <v>100.84290111554714</v>
      </c>
    </row>
    <row r="331" spans="1:24" x14ac:dyDescent="0.25">
      <c r="A331">
        <f t="shared" ca="1" si="43"/>
        <v>100.04527580257472</v>
      </c>
      <c r="N331">
        <f t="shared" si="48"/>
        <v>1.3291666666666633</v>
      </c>
      <c r="O331" cm="1">
        <f t="array" aca="1" ref="O331" ca="1">mu*dt_1*R330</f>
        <v>3.9994985037369923E-2</v>
      </c>
      <c r="P331">
        <f t="shared" ca="1" si="44"/>
        <v>2.0800455045027122</v>
      </c>
      <c r="Q331">
        <f t="shared" ca="1" si="49"/>
        <v>2.1200404895400822</v>
      </c>
      <c r="R331">
        <f t="shared" ca="1" si="50"/>
        <v>122.10499560164986</v>
      </c>
      <c r="T331">
        <f t="shared" si="45"/>
        <v>1.3291666666666633</v>
      </c>
      <c r="U331">
        <f t="shared" ca="1" si="46"/>
        <v>3.3614300371849051E-2</v>
      </c>
      <c r="V331">
        <f t="shared" ca="1" si="47"/>
        <v>-0.83123961334426844</v>
      </c>
      <c r="W331">
        <f t="shared" ca="1" si="51"/>
        <v>-0.79762531297241934</v>
      </c>
      <c r="X331">
        <f t="shared" ca="1" si="52"/>
        <v>100.04527580257472</v>
      </c>
    </row>
    <row r="332" spans="1:24" x14ac:dyDescent="0.25">
      <c r="A332">
        <f t="shared" ca="1" si="43"/>
        <v>100.08882710944239</v>
      </c>
      <c r="N332">
        <f t="shared" si="48"/>
        <v>1.3333333333333299</v>
      </c>
      <c r="O332" cm="1">
        <f t="array" aca="1" ref="O332" ca="1">mu*dt_1*R331</f>
        <v>4.070166520054995E-2</v>
      </c>
      <c r="P332">
        <f t="shared" ca="1" si="44"/>
        <v>0.10433560624410353</v>
      </c>
      <c r="Q332">
        <f t="shared" ca="1" si="49"/>
        <v>0.14503727144465348</v>
      </c>
      <c r="R332">
        <f t="shared" ca="1" si="50"/>
        <v>122.25003287309451</v>
      </c>
      <c r="T332">
        <f t="shared" si="45"/>
        <v>1.3333333333333299</v>
      </c>
      <c r="U332">
        <f t="shared" ca="1" si="46"/>
        <v>3.3348425267524906E-2</v>
      </c>
      <c r="V332">
        <f t="shared" ca="1" si="47"/>
        <v>1.0202881600146079E-2</v>
      </c>
      <c r="W332">
        <f t="shared" ca="1" si="51"/>
        <v>4.3551306867670989E-2</v>
      </c>
      <c r="X332">
        <f t="shared" ca="1" si="52"/>
        <v>100.08882710944239</v>
      </c>
    </row>
    <row r="333" spans="1:24" x14ac:dyDescent="0.25">
      <c r="A333">
        <f t="shared" ref="A333:A396" ca="1" si="53">MIN(R333,X333)</f>
        <v>103.53021749203279</v>
      </c>
      <c r="N333">
        <f t="shared" si="48"/>
        <v>1.3374999999999966</v>
      </c>
      <c r="O333" cm="1">
        <f t="array" aca="1" ref="O333" ca="1">mu*dt_1*R332</f>
        <v>4.0750010957698167E-2</v>
      </c>
      <c r="P333">
        <f t="shared" ref="P333:P396" ca="1" si="54">_xlfn.NORM.INV(RAND(),0,1)*SQRT(dt_1)*sigma1*R332</f>
        <v>1.996485462079798</v>
      </c>
      <c r="Q333">
        <f t="shared" ca="1" si="49"/>
        <v>2.0372354730374962</v>
      </c>
      <c r="R333">
        <f t="shared" ca="1" si="50"/>
        <v>124.28726834613201</v>
      </c>
      <c r="T333">
        <f t="shared" ref="T333:T396" si="55">T332+dt_2</f>
        <v>1.3374999999999966</v>
      </c>
      <c r="U333">
        <f t="shared" ref="U333:U396" ca="1" si="56">mu_2*X332*dt_2</f>
        <v>3.336294236981413E-2</v>
      </c>
      <c r="V333">
        <f t="shared" ref="V333:V396" ca="1" si="57">(rho*P333/sigma1/R332+SQRT(1-rho^2)*_xlfn.NORM.INV(RAND(),0,1)*SQRT(dt_2))*sigma2*X332</f>
        <v>3.4080274402205908</v>
      </c>
      <c r="W333">
        <f t="shared" ca="1" si="51"/>
        <v>3.4413903825904049</v>
      </c>
      <c r="X333">
        <f t="shared" ca="1" si="52"/>
        <v>103.53021749203279</v>
      </c>
    </row>
    <row r="334" spans="1:24" x14ac:dyDescent="0.25">
      <c r="A334">
        <f t="shared" ca="1" si="53"/>
        <v>102.28556958437605</v>
      </c>
      <c r="N334">
        <f t="shared" ref="N334:N397" si="58">N333+$C$8</f>
        <v>1.3416666666666632</v>
      </c>
      <c r="O334" cm="1">
        <f t="array" aca="1" ref="O334" ca="1">mu*dt_1*R333</f>
        <v>4.1429089448710668E-2</v>
      </c>
      <c r="P334">
        <f t="shared" ca="1" si="54"/>
        <v>1.7706671701809555</v>
      </c>
      <c r="Q334">
        <f t="shared" ref="Q334:Q397" ca="1" si="59">O334+P334</f>
        <v>1.8120962596296661</v>
      </c>
      <c r="R334">
        <f t="shared" ref="R334:R397" ca="1" si="60">R333+Q334</f>
        <v>126.09936460576168</v>
      </c>
      <c r="T334">
        <f t="shared" si="55"/>
        <v>1.3416666666666632</v>
      </c>
      <c r="U334">
        <f t="shared" ca="1" si="56"/>
        <v>3.4510072497344266E-2</v>
      </c>
      <c r="V334">
        <f t="shared" ca="1" si="57"/>
        <v>-1.2791579801540869</v>
      </c>
      <c r="W334">
        <f t="shared" ref="W334:W397" ca="1" si="61">U334+V334</f>
        <v>-1.2446479076567427</v>
      </c>
      <c r="X334">
        <f t="shared" ref="X334:X397" ca="1" si="62">X333+W334</f>
        <v>102.28556958437605</v>
      </c>
    </row>
    <row r="335" spans="1:24" x14ac:dyDescent="0.25">
      <c r="A335">
        <f t="shared" ca="1" si="53"/>
        <v>101.17141489434647</v>
      </c>
      <c r="N335">
        <f t="shared" si="58"/>
        <v>1.3458333333333299</v>
      </c>
      <c r="O335" cm="1">
        <f t="array" aca="1" ref="O335" ca="1">mu*dt_1*R334</f>
        <v>4.203312153525389E-2</v>
      </c>
      <c r="P335">
        <f t="shared" ca="1" si="54"/>
        <v>0.50811015059689846</v>
      </c>
      <c r="Q335">
        <f t="shared" ca="1" si="59"/>
        <v>0.55014327213215231</v>
      </c>
      <c r="R335">
        <f t="shared" ca="1" si="60"/>
        <v>126.64950787789383</v>
      </c>
      <c r="T335">
        <f t="shared" si="55"/>
        <v>1.3458333333333299</v>
      </c>
      <c r="U335">
        <f t="shared" ca="1" si="56"/>
        <v>3.409518986145868E-2</v>
      </c>
      <c r="V335">
        <f t="shared" ca="1" si="57"/>
        <v>-1.1482498798910334</v>
      </c>
      <c r="W335">
        <f t="shared" ca="1" si="61"/>
        <v>-1.1141546900295747</v>
      </c>
      <c r="X335">
        <f t="shared" ca="1" si="62"/>
        <v>101.17141489434647</v>
      </c>
    </row>
    <row r="336" spans="1:24" x14ac:dyDescent="0.25">
      <c r="A336">
        <f t="shared" ca="1" si="53"/>
        <v>101.33426484758559</v>
      </c>
      <c r="N336">
        <f t="shared" si="58"/>
        <v>1.3499999999999965</v>
      </c>
      <c r="O336" cm="1">
        <f t="array" aca="1" ref="O336" ca="1">mu*dt_1*R335</f>
        <v>4.221650262596461E-2</v>
      </c>
      <c r="P336">
        <f t="shared" ca="1" si="54"/>
        <v>0.25781766394307115</v>
      </c>
      <c r="Q336">
        <f t="shared" ca="1" si="59"/>
        <v>0.30003416656903575</v>
      </c>
      <c r="R336">
        <f t="shared" ca="1" si="60"/>
        <v>126.94954204446286</v>
      </c>
      <c r="T336">
        <f t="shared" si="55"/>
        <v>1.3499999999999965</v>
      </c>
      <c r="U336">
        <f t="shared" ca="1" si="56"/>
        <v>3.3723804964782153E-2</v>
      </c>
      <c r="V336">
        <f t="shared" ca="1" si="57"/>
        <v>0.12912614827433902</v>
      </c>
      <c r="W336">
        <f t="shared" ca="1" si="61"/>
        <v>0.16284995323912116</v>
      </c>
      <c r="X336">
        <f t="shared" ca="1" si="62"/>
        <v>101.33426484758559</v>
      </c>
    </row>
    <row r="337" spans="1:24" x14ac:dyDescent="0.25">
      <c r="A337">
        <f t="shared" ca="1" si="53"/>
        <v>101.80376144822698</v>
      </c>
      <c r="N337">
        <f t="shared" si="58"/>
        <v>1.3541666666666632</v>
      </c>
      <c r="O337" cm="1">
        <f t="array" aca="1" ref="O337" ca="1">mu*dt_1*R336</f>
        <v>4.231651401482095E-2</v>
      </c>
      <c r="P337">
        <f t="shared" ca="1" si="54"/>
        <v>-4.6893910426592793E-2</v>
      </c>
      <c r="Q337">
        <f t="shared" ca="1" si="59"/>
        <v>-4.5773964117718433E-3</v>
      </c>
      <c r="R337">
        <f t="shared" ca="1" si="60"/>
        <v>126.94496464805108</v>
      </c>
      <c r="T337">
        <f t="shared" si="55"/>
        <v>1.3541666666666632</v>
      </c>
      <c r="U337">
        <f t="shared" ca="1" si="56"/>
        <v>3.3778088282528526E-2</v>
      </c>
      <c r="V337">
        <f t="shared" ca="1" si="57"/>
        <v>0.43571851235886067</v>
      </c>
      <c r="W337">
        <f t="shared" ca="1" si="61"/>
        <v>0.46949660064138921</v>
      </c>
      <c r="X337">
        <f t="shared" ca="1" si="62"/>
        <v>101.80376144822698</v>
      </c>
    </row>
    <row r="338" spans="1:24" x14ac:dyDescent="0.25">
      <c r="A338">
        <f t="shared" ca="1" si="53"/>
        <v>103.56115506937934</v>
      </c>
      <c r="N338">
        <f t="shared" si="58"/>
        <v>1.3583333333333298</v>
      </c>
      <c r="O338" cm="1">
        <f t="array" aca="1" ref="O338" ca="1">mu*dt_1*R337</f>
        <v>4.2314988216017028E-2</v>
      </c>
      <c r="P338">
        <f t="shared" ca="1" si="54"/>
        <v>-2.9473668432478317</v>
      </c>
      <c r="Q338">
        <f t="shared" ca="1" si="59"/>
        <v>-2.9050518550318145</v>
      </c>
      <c r="R338">
        <f t="shared" ca="1" si="60"/>
        <v>124.03991279301927</v>
      </c>
      <c r="T338">
        <f t="shared" si="55"/>
        <v>1.3583333333333298</v>
      </c>
      <c r="U338">
        <f t="shared" ca="1" si="56"/>
        <v>3.3934587149408994E-2</v>
      </c>
      <c r="V338">
        <f t="shared" ca="1" si="57"/>
        <v>1.7234590340029565</v>
      </c>
      <c r="W338">
        <f t="shared" ca="1" si="61"/>
        <v>1.7573936211523655</v>
      </c>
      <c r="X338">
        <f t="shared" ca="1" si="62"/>
        <v>103.56115506937934</v>
      </c>
    </row>
    <row r="339" spans="1:24" x14ac:dyDescent="0.25">
      <c r="A339">
        <f t="shared" ca="1" si="53"/>
        <v>102.68297656633031</v>
      </c>
      <c r="N339">
        <f t="shared" si="58"/>
        <v>1.3624999999999965</v>
      </c>
      <c r="O339" cm="1">
        <f t="array" aca="1" ref="O339" ca="1">mu*dt_1*R338</f>
        <v>4.134663759767309E-2</v>
      </c>
      <c r="P339">
        <f t="shared" ca="1" si="54"/>
        <v>-9.403502164679782E-2</v>
      </c>
      <c r="Q339">
        <f t="shared" ca="1" si="59"/>
        <v>-5.268838404912473E-2</v>
      </c>
      <c r="R339">
        <f t="shared" ca="1" si="60"/>
        <v>123.98722440897015</v>
      </c>
      <c r="T339">
        <f t="shared" si="55"/>
        <v>1.3624999999999965</v>
      </c>
      <c r="U339">
        <f t="shared" ca="1" si="56"/>
        <v>3.4520385023126453E-2</v>
      </c>
      <c r="V339">
        <f t="shared" ca="1" si="57"/>
        <v>-0.9126988880721506</v>
      </c>
      <c r="W339">
        <f t="shared" ca="1" si="61"/>
        <v>-0.87817850304902412</v>
      </c>
      <c r="X339">
        <f t="shared" ca="1" si="62"/>
        <v>102.68297656633031</v>
      </c>
    </row>
    <row r="340" spans="1:24" x14ac:dyDescent="0.25">
      <c r="A340">
        <f t="shared" ca="1" si="53"/>
        <v>101.84838660091127</v>
      </c>
      <c r="N340">
        <f t="shared" si="58"/>
        <v>1.3666666666666631</v>
      </c>
      <c r="O340" cm="1">
        <f t="array" aca="1" ref="O340" ca="1">mu*dt_1*R339</f>
        <v>4.132907480299005E-2</v>
      </c>
      <c r="P340">
        <f t="shared" ca="1" si="54"/>
        <v>-0.31272349618124029</v>
      </c>
      <c r="Q340">
        <f t="shared" ca="1" si="59"/>
        <v>-0.27139442137825026</v>
      </c>
      <c r="R340">
        <f t="shared" ca="1" si="60"/>
        <v>123.7158299875919</v>
      </c>
      <c r="T340">
        <f t="shared" si="55"/>
        <v>1.3666666666666631</v>
      </c>
      <c r="U340">
        <f t="shared" ca="1" si="56"/>
        <v>3.4227658855443439E-2</v>
      </c>
      <c r="V340">
        <f t="shared" ca="1" si="57"/>
        <v>-0.86881762427448539</v>
      </c>
      <c r="W340">
        <f t="shared" ca="1" si="61"/>
        <v>-0.83458996541904196</v>
      </c>
      <c r="X340">
        <f t="shared" ca="1" si="62"/>
        <v>101.84838660091127</v>
      </c>
    </row>
    <row r="341" spans="1:24" x14ac:dyDescent="0.25">
      <c r="A341">
        <f t="shared" ca="1" si="53"/>
        <v>101.0955756940359</v>
      </c>
      <c r="N341">
        <f t="shared" si="58"/>
        <v>1.3708333333333298</v>
      </c>
      <c r="O341" cm="1">
        <f t="array" aca="1" ref="O341" ca="1">mu*dt_1*R340</f>
        <v>4.1238609995863963E-2</v>
      </c>
      <c r="P341">
        <f t="shared" ca="1" si="54"/>
        <v>2.8792101147384335</v>
      </c>
      <c r="Q341">
        <f t="shared" ca="1" si="59"/>
        <v>2.9204487247342974</v>
      </c>
      <c r="R341">
        <f t="shared" ca="1" si="60"/>
        <v>126.6362787123262</v>
      </c>
      <c r="T341">
        <f t="shared" si="55"/>
        <v>1.3708333333333298</v>
      </c>
      <c r="U341">
        <f t="shared" ca="1" si="56"/>
        <v>3.3949462200303752E-2</v>
      </c>
      <c r="V341">
        <f t="shared" ca="1" si="57"/>
        <v>-0.78676036907566727</v>
      </c>
      <c r="W341">
        <f t="shared" ca="1" si="61"/>
        <v>-0.75281090687536356</v>
      </c>
      <c r="X341">
        <f t="shared" ca="1" si="62"/>
        <v>101.0955756940359</v>
      </c>
    </row>
    <row r="342" spans="1:24" x14ac:dyDescent="0.25">
      <c r="A342">
        <f t="shared" ca="1" si="53"/>
        <v>101.07673424292767</v>
      </c>
      <c r="N342">
        <f t="shared" si="58"/>
        <v>1.3749999999999964</v>
      </c>
      <c r="O342" cm="1">
        <f t="array" aca="1" ref="O342" ca="1">mu*dt_1*R341</f>
        <v>4.2212092904108732E-2</v>
      </c>
      <c r="P342">
        <f t="shared" ca="1" si="54"/>
        <v>2.7902364200072021</v>
      </c>
      <c r="Q342">
        <f t="shared" ca="1" si="59"/>
        <v>2.8324485129113106</v>
      </c>
      <c r="R342">
        <f t="shared" ca="1" si="60"/>
        <v>129.4687272252375</v>
      </c>
      <c r="T342">
        <f t="shared" si="55"/>
        <v>1.3749999999999964</v>
      </c>
      <c r="U342">
        <f t="shared" ca="1" si="56"/>
        <v>3.3698525231345304E-2</v>
      </c>
      <c r="V342">
        <f t="shared" ca="1" si="57"/>
        <v>-5.2539976339579436E-2</v>
      </c>
      <c r="W342">
        <f t="shared" ca="1" si="61"/>
        <v>-1.8841451108234132E-2</v>
      </c>
      <c r="X342">
        <f t="shared" ca="1" si="62"/>
        <v>101.07673424292767</v>
      </c>
    </row>
    <row r="343" spans="1:24" x14ac:dyDescent="0.25">
      <c r="A343">
        <f t="shared" ca="1" si="53"/>
        <v>101.15332343491963</v>
      </c>
      <c r="N343">
        <f t="shared" si="58"/>
        <v>1.3791666666666631</v>
      </c>
      <c r="O343" cm="1">
        <f t="array" aca="1" ref="O343" ca="1">mu*dt_1*R342</f>
        <v>4.3156242408412496E-2</v>
      </c>
      <c r="P343">
        <f t="shared" ca="1" si="54"/>
        <v>-0.36765831590433773</v>
      </c>
      <c r="Q343">
        <f t="shared" ca="1" si="59"/>
        <v>-0.32450207349592525</v>
      </c>
      <c r="R343">
        <f t="shared" ca="1" si="60"/>
        <v>129.14422515174158</v>
      </c>
      <c r="T343">
        <f t="shared" si="55"/>
        <v>1.3791666666666631</v>
      </c>
      <c r="U343">
        <f t="shared" ca="1" si="56"/>
        <v>3.3692244747642555E-2</v>
      </c>
      <c r="V343">
        <f t="shared" ca="1" si="57"/>
        <v>4.2896947244311645E-2</v>
      </c>
      <c r="W343">
        <f t="shared" ca="1" si="61"/>
        <v>7.65891919919542E-2</v>
      </c>
      <c r="X343">
        <f t="shared" ca="1" si="62"/>
        <v>101.15332343491963</v>
      </c>
    </row>
    <row r="344" spans="1:24" x14ac:dyDescent="0.25">
      <c r="A344">
        <f t="shared" ca="1" si="53"/>
        <v>101.61425396615256</v>
      </c>
      <c r="N344">
        <f t="shared" si="58"/>
        <v>1.3833333333333298</v>
      </c>
      <c r="O344" cm="1">
        <f t="array" aca="1" ref="O344" ca="1">mu*dt_1*R343</f>
        <v>4.3048075050580524E-2</v>
      </c>
      <c r="P344">
        <f t="shared" ca="1" si="54"/>
        <v>-0.68179156187152434</v>
      </c>
      <c r="Q344">
        <f t="shared" ca="1" si="59"/>
        <v>-0.63874348682094384</v>
      </c>
      <c r="R344">
        <f t="shared" ca="1" si="60"/>
        <v>128.50548166492064</v>
      </c>
      <c r="T344">
        <f t="shared" si="55"/>
        <v>1.3833333333333298</v>
      </c>
      <c r="U344">
        <f t="shared" ca="1" si="56"/>
        <v>3.3717774478306539E-2</v>
      </c>
      <c r="V344">
        <f t="shared" ca="1" si="57"/>
        <v>0.42721275675463138</v>
      </c>
      <c r="W344">
        <f t="shared" ca="1" si="61"/>
        <v>0.46093053123293792</v>
      </c>
      <c r="X344">
        <f t="shared" ca="1" si="62"/>
        <v>101.61425396615256</v>
      </c>
    </row>
    <row r="345" spans="1:24" x14ac:dyDescent="0.25">
      <c r="A345">
        <f t="shared" ca="1" si="53"/>
        <v>101.52164136978799</v>
      </c>
      <c r="N345">
        <f t="shared" si="58"/>
        <v>1.3874999999999964</v>
      </c>
      <c r="O345" cm="1">
        <f t="array" aca="1" ref="O345" ca="1">mu*dt_1*R344</f>
        <v>4.2835160554973543E-2</v>
      </c>
      <c r="P345">
        <f t="shared" ca="1" si="54"/>
        <v>1.7402549615207992</v>
      </c>
      <c r="Q345">
        <f t="shared" ca="1" si="59"/>
        <v>1.7830901220757727</v>
      </c>
      <c r="R345">
        <f t="shared" ca="1" si="60"/>
        <v>130.28857178699641</v>
      </c>
      <c r="T345">
        <f t="shared" si="55"/>
        <v>1.3874999999999964</v>
      </c>
      <c r="U345">
        <f t="shared" ca="1" si="56"/>
        <v>3.3871417988717518E-2</v>
      </c>
      <c r="V345">
        <f t="shared" ca="1" si="57"/>
        <v>-0.12648401435328507</v>
      </c>
      <c r="W345">
        <f t="shared" ca="1" si="61"/>
        <v>-9.2612596364567562E-2</v>
      </c>
      <c r="X345">
        <f t="shared" ca="1" si="62"/>
        <v>101.52164136978799</v>
      </c>
    </row>
    <row r="346" spans="1:24" x14ac:dyDescent="0.25">
      <c r="A346">
        <f t="shared" ca="1" si="53"/>
        <v>100.20849113979772</v>
      </c>
      <c r="N346">
        <f t="shared" si="58"/>
        <v>1.3916666666666631</v>
      </c>
      <c r="O346" cm="1">
        <f t="array" aca="1" ref="O346" ca="1">mu*dt_1*R345</f>
        <v>4.3429523928998806E-2</v>
      </c>
      <c r="P346">
        <f t="shared" ca="1" si="54"/>
        <v>-0.16208033127181842</v>
      </c>
      <c r="Q346">
        <f t="shared" ca="1" si="59"/>
        <v>-0.11865080734281962</v>
      </c>
      <c r="R346">
        <f t="shared" ca="1" si="60"/>
        <v>130.1699209796536</v>
      </c>
      <c r="T346">
        <f t="shared" si="55"/>
        <v>1.3916666666666631</v>
      </c>
      <c r="U346">
        <f t="shared" ca="1" si="56"/>
        <v>3.3840547123262663E-2</v>
      </c>
      <c r="V346">
        <f t="shared" ca="1" si="57"/>
        <v>-1.3469907771135314</v>
      </c>
      <c r="W346">
        <f t="shared" ca="1" si="61"/>
        <v>-1.3131502299902689</v>
      </c>
      <c r="X346">
        <f t="shared" ca="1" si="62"/>
        <v>100.20849113979772</v>
      </c>
    </row>
    <row r="347" spans="1:24" x14ac:dyDescent="0.25">
      <c r="A347">
        <f t="shared" ca="1" si="53"/>
        <v>99.354563225671839</v>
      </c>
      <c r="N347">
        <f t="shared" si="58"/>
        <v>1.3958333333333297</v>
      </c>
      <c r="O347" cm="1">
        <f t="array" aca="1" ref="O347" ca="1">mu*dt_1*R346</f>
        <v>4.3389973659884534E-2</v>
      </c>
      <c r="P347">
        <f t="shared" ca="1" si="54"/>
        <v>0.79814838589616199</v>
      </c>
      <c r="Q347">
        <f t="shared" ca="1" si="59"/>
        <v>0.8415383595560465</v>
      </c>
      <c r="R347">
        <f t="shared" ca="1" si="60"/>
        <v>131.01145933920964</v>
      </c>
      <c r="T347">
        <f t="shared" si="55"/>
        <v>1.3958333333333297</v>
      </c>
      <c r="U347">
        <f t="shared" ca="1" si="56"/>
        <v>3.3402830379932566E-2</v>
      </c>
      <c r="V347">
        <f t="shared" ca="1" si="57"/>
        <v>-0.88733074450581428</v>
      </c>
      <c r="W347">
        <f t="shared" ca="1" si="61"/>
        <v>-0.85392791412588176</v>
      </c>
      <c r="X347">
        <f t="shared" ca="1" si="62"/>
        <v>99.354563225671839</v>
      </c>
    </row>
    <row r="348" spans="1:24" x14ac:dyDescent="0.25">
      <c r="A348">
        <f t="shared" ca="1" si="53"/>
        <v>99.801559918723257</v>
      </c>
      <c r="N348">
        <f t="shared" si="58"/>
        <v>1.3999999999999964</v>
      </c>
      <c r="O348" cm="1">
        <f t="array" aca="1" ref="O348" ca="1">mu*dt_1*R347</f>
        <v>4.3670486446403207E-2</v>
      </c>
      <c r="P348">
        <f t="shared" ca="1" si="54"/>
        <v>-1.2141778062614916E-2</v>
      </c>
      <c r="Q348">
        <f t="shared" ca="1" si="59"/>
        <v>3.1528708383788295E-2</v>
      </c>
      <c r="R348">
        <f t="shared" ca="1" si="60"/>
        <v>131.04298804759341</v>
      </c>
      <c r="T348">
        <f t="shared" si="55"/>
        <v>1.3999999999999964</v>
      </c>
      <c r="U348">
        <f t="shared" ca="1" si="56"/>
        <v>3.3118187741890612E-2</v>
      </c>
      <c r="V348">
        <f t="shared" ca="1" si="57"/>
        <v>0.41387850530953391</v>
      </c>
      <c r="W348">
        <f t="shared" ca="1" si="61"/>
        <v>0.44699669305142453</v>
      </c>
      <c r="X348">
        <f t="shared" ca="1" si="62"/>
        <v>99.801559918723257</v>
      </c>
    </row>
    <row r="349" spans="1:24" x14ac:dyDescent="0.25">
      <c r="A349">
        <f t="shared" ca="1" si="53"/>
        <v>101.64197655467466</v>
      </c>
      <c r="N349">
        <f t="shared" si="58"/>
        <v>1.404166666666663</v>
      </c>
      <c r="O349" cm="1">
        <f t="array" aca="1" ref="O349" ca="1">mu*dt_1*R348</f>
        <v>4.3680996015864469E-2</v>
      </c>
      <c r="P349">
        <f t="shared" ca="1" si="54"/>
        <v>-1.1453257408006716</v>
      </c>
      <c r="Q349">
        <f t="shared" ca="1" si="59"/>
        <v>-1.1016447447848072</v>
      </c>
      <c r="R349">
        <f t="shared" ca="1" si="60"/>
        <v>129.9413433028086</v>
      </c>
      <c r="T349">
        <f t="shared" si="55"/>
        <v>1.404166666666663</v>
      </c>
      <c r="U349">
        <f t="shared" ca="1" si="56"/>
        <v>3.3267186639574418E-2</v>
      </c>
      <c r="V349">
        <f t="shared" ca="1" si="57"/>
        <v>1.8071494493118199</v>
      </c>
      <c r="W349">
        <f t="shared" ca="1" si="61"/>
        <v>1.8404166359513943</v>
      </c>
      <c r="X349">
        <f t="shared" ca="1" si="62"/>
        <v>101.64197655467466</v>
      </c>
    </row>
    <row r="350" spans="1:24" x14ac:dyDescent="0.25">
      <c r="A350">
        <f t="shared" ca="1" si="53"/>
        <v>105.18991845210738</v>
      </c>
      <c r="N350">
        <f t="shared" si="58"/>
        <v>1.4083333333333297</v>
      </c>
      <c r="O350" cm="1">
        <f t="array" aca="1" ref="O350" ca="1">mu*dt_1*R349</f>
        <v>4.3313781100936199E-2</v>
      </c>
      <c r="P350">
        <f t="shared" ca="1" si="54"/>
        <v>-0.35233230472102606</v>
      </c>
      <c r="Q350">
        <f t="shared" ca="1" si="59"/>
        <v>-0.30901852362008986</v>
      </c>
      <c r="R350">
        <f t="shared" ca="1" si="60"/>
        <v>129.63232477918851</v>
      </c>
      <c r="T350">
        <f t="shared" si="55"/>
        <v>1.4083333333333297</v>
      </c>
      <c r="U350">
        <f t="shared" ca="1" si="56"/>
        <v>3.3880658851558221E-2</v>
      </c>
      <c r="V350">
        <f t="shared" ca="1" si="57"/>
        <v>3.514061238581168</v>
      </c>
      <c r="W350">
        <f t="shared" ca="1" si="61"/>
        <v>3.5479418974327261</v>
      </c>
      <c r="X350">
        <f t="shared" ca="1" si="62"/>
        <v>105.18991845210738</v>
      </c>
    </row>
    <row r="351" spans="1:24" x14ac:dyDescent="0.25">
      <c r="A351">
        <f t="shared" ca="1" si="53"/>
        <v>105.71035989750357</v>
      </c>
      <c r="N351">
        <f t="shared" si="58"/>
        <v>1.4124999999999963</v>
      </c>
      <c r="O351" cm="1">
        <f t="array" aca="1" ref="O351" ca="1">mu*dt_1*R350</f>
        <v>4.3210774926396169E-2</v>
      </c>
      <c r="P351">
        <f t="shared" ca="1" si="54"/>
        <v>-0.10401753719313071</v>
      </c>
      <c r="Q351">
        <f t="shared" ca="1" si="59"/>
        <v>-6.0806762266734544E-2</v>
      </c>
      <c r="R351">
        <f t="shared" ca="1" si="60"/>
        <v>129.57151801692177</v>
      </c>
      <c r="T351">
        <f t="shared" si="55"/>
        <v>1.4124999999999963</v>
      </c>
      <c r="U351">
        <f t="shared" ca="1" si="56"/>
        <v>3.506330615070246E-2</v>
      </c>
      <c r="V351">
        <f t="shared" ca="1" si="57"/>
        <v>0.48537813924548012</v>
      </c>
      <c r="W351">
        <f t="shared" ca="1" si="61"/>
        <v>0.52044144539618253</v>
      </c>
      <c r="X351">
        <f t="shared" ca="1" si="62"/>
        <v>105.71035989750357</v>
      </c>
    </row>
    <row r="352" spans="1:24" x14ac:dyDescent="0.25">
      <c r="A352">
        <f t="shared" ca="1" si="53"/>
        <v>105.04022638680777</v>
      </c>
      <c r="N352">
        <f t="shared" si="58"/>
        <v>1.416666666666663</v>
      </c>
      <c r="O352" cm="1">
        <f t="array" aca="1" ref="O352" ca="1">mu*dt_1*R351</f>
        <v>4.3190506005640589E-2</v>
      </c>
      <c r="P352">
        <f t="shared" ca="1" si="54"/>
        <v>-2.0469959126257362</v>
      </c>
      <c r="Q352">
        <f t="shared" ca="1" si="59"/>
        <v>-2.0038054066200957</v>
      </c>
      <c r="R352">
        <f t="shared" ca="1" si="60"/>
        <v>127.56771261030167</v>
      </c>
      <c r="T352">
        <f t="shared" si="55"/>
        <v>1.416666666666663</v>
      </c>
      <c r="U352">
        <f t="shared" ca="1" si="56"/>
        <v>3.5236786632501189E-2</v>
      </c>
      <c r="V352">
        <f t="shared" ca="1" si="57"/>
        <v>-0.70537029732828549</v>
      </c>
      <c r="W352">
        <f t="shared" ca="1" si="61"/>
        <v>-0.67013351069578431</v>
      </c>
      <c r="X352">
        <f t="shared" ca="1" si="62"/>
        <v>105.04022638680777</v>
      </c>
    </row>
    <row r="353" spans="1:24" x14ac:dyDescent="0.25">
      <c r="A353">
        <f t="shared" ca="1" si="53"/>
        <v>105.22039461880713</v>
      </c>
      <c r="N353">
        <f t="shared" si="58"/>
        <v>1.4208333333333296</v>
      </c>
      <c r="O353" cm="1">
        <f t="array" aca="1" ref="O353" ca="1">mu*dt_1*R352</f>
        <v>4.2522570870100557E-2</v>
      </c>
      <c r="P353">
        <f t="shared" ca="1" si="54"/>
        <v>9.5889601883509257E-2</v>
      </c>
      <c r="Q353">
        <f t="shared" ca="1" si="59"/>
        <v>0.13841217275360981</v>
      </c>
      <c r="R353">
        <f t="shared" ca="1" si="60"/>
        <v>127.70612478305527</v>
      </c>
      <c r="T353">
        <f t="shared" si="55"/>
        <v>1.4208333333333296</v>
      </c>
      <c r="U353">
        <f t="shared" ca="1" si="56"/>
        <v>3.5013408795602587E-2</v>
      </c>
      <c r="V353">
        <f t="shared" ca="1" si="57"/>
        <v>0.14515482320376175</v>
      </c>
      <c r="W353">
        <f t="shared" ca="1" si="61"/>
        <v>0.18016823199936433</v>
      </c>
      <c r="X353">
        <f t="shared" ca="1" si="62"/>
        <v>105.22039461880713</v>
      </c>
    </row>
    <row r="354" spans="1:24" x14ac:dyDescent="0.25">
      <c r="A354">
        <f t="shared" ca="1" si="53"/>
        <v>104.99772260936122</v>
      </c>
      <c r="N354">
        <f t="shared" si="58"/>
        <v>1.4249999999999963</v>
      </c>
      <c r="O354" cm="1">
        <f t="array" aca="1" ref="O354" ca="1">mu*dt_1*R353</f>
        <v>4.2568708261018426E-2</v>
      </c>
      <c r="P354">
        <f t="shared" ca="1" si="54"/>
        <v>0.44263867368783566</v>
      </c>
      <c r="Q354">
        <f t="shared" ca="1" si="59"/>
        <v>0.4852073819488541</v>
      </c>
      <c r="R354">
        <f t="shared" ca="1" si="60"/>
        <v>128.19133216500413</v>
      </c>
      <c r="T354">
        <f t="shared" si="55"/>
        <v>1.4249999999999963</v>
      </c>
      <c r="U354">
        <f t="shared" ca="1" si="56"/>
        <v>3.5073464872935715E-2</v>
      </c>
      <c r="V354">
        <f t="shared" ca="1" si="57"/>
        <v>-0.25774547431885259</v>
      </c>
      <c r="W354">
        <f t="shared" ca="1" si="61"/>
        <v>-0.22267200944591686</v>
      </c>
      <c r="X354">
        <f t="shared" ca="1" si="62"/>
        <v>104.99772260936122</v>
      </c>
    </row>
    <row r="355" spans="1:24" x14ac:dyDescent="0.25">
      <c r="A355">
        <f t="shared" ca="1" si="53"/>
        <v>104.48102172614787</v>
      </c>
      <c r="N355">
        <f t="shared" si="58"/>
        <v>1.4291666666666629</v>
      </c>
      <c r="O355" cm="1">
        <f t="array" aca="1" ref="O355" ca="1">mu*dt_1*R354</f>
        <v>4.2730444055001371E-2</v>
      </c>
      <c r="P355">
        <f t="shared" ca="1" si="54"/>
        <v>-0.27447186572542442</v>
      </c>
      <c r="Q355">
        <f t="shared" ca="1" si="59"/>
        <v>-0.23174142167042305</v>
      </c>
      <c r="R355">
        <f t="shared" ca="1" si="60"/>
        <v>127.95959074333371</v>
      </c>
      <c r="T355">
        <f t="shared" si="55"/>
        <v>1.4291666666666629</v>
      </c>
      <c r="U355">
        <f t="shared" ca="1" si="56"/>
        <v>3.4999240869787077E-2</v>
      </c>
      <c r="V355">
        <f t="shared" ca="1" si="57"/>
        <v>-0.55170012408312619</v>
      </c>
      <c r="W355">
        <f t="shared" ca="1" si="61"/>
        <v>-0.51670088321333907</v>
      </c>
      <c r="X355">
        <f t="shared" ca="1" si="62"/>
        <v>104.48102172614787</v>
      </c>
    </row>
    <row r="356" spans="1:24" x14ac:dyDescent="0.25">
      <c r="A356">
        <f t="shared" ca="1" si="53"/>
        <v>104.78065101996758</v>
      </c>
      <c r="N356">
        <f t="shared" si="58"/>
        <v>1.4333333333333296</v>
      </c>
      <c r="O356" cm="1">
        <f t="array" aca="1" ref="O356" ca="1">mu*dt_1*R355</f>
        <v>4.2653196914444566E-2</v>
      </c>
      <c r="P356">
        <f t="shared" ca="1" si="54"/>
        <v>-0.96144305829680277</v>
      </c>
      <c r="Q356">
        <f t="shared" ca="1" si="59"/>
        <v>-0.91878986138235819</v>
      </c>
      <c r="R356">
        <f t="shared" ca="1" si="60"/>
        <v>127.04080088195134</v>
      </c>
      <c r="T356">
        <f t="shared" si="55"/>
        <v>1.4333333333333296</v>
      </c>
      <c r="U356">
        <f t="shared" ca="1" si="56"/>
        <v>3.482700724204929E-2</v>
      </c>
      <c r="V356">
        <f t="shared" ca="1" si="57"/>
        <v>0.26480228657765625</v>
      </c>
      <c r="W356">
        <f t="shared" ca="1" si="61"/>
        <v>0.29962929381970554</v>
      </c>
      <c r="X356">
        <f t="shared" ca="1" si="62"/>
        <v>104.78065101996758</v>
      </c>
    </row>
    <row r="357" spans="1:24" x14ac:dyDescent="0.25">
      <c r="A357">
        <f t="shared" ca="1" si="53"/>
        <v>105.51964025733865</v>
      </c>
      <c r="N357">
        <f t="shared" si="58"/>
        <v>1.4374999999999962</v>
      </c>
      <c r="O357" cm="1">
        <f t="array" aca="1" ref="O357" ca="1">mu*dt_1*R356</f>
        <v>4.2346933627317111E-2</v>
      </c>
      <c r="P357">
        <f t="shared" ca="1" si="54"/>
        <v>-1.8684978286930274</v>
      </c>
      <c r="Q357">
        <f t="shared" ca="1" si="59"/>
        <v>-1.8261508950657104</v>
      </c>
      <c r="R357">
        <f t="shared" ca="1" si="60"/>
        <v>125.21464998688563</v>
      </c>
      <c r="T357">
        <f t="shared" si="55"/>
        <v>1.4374999999999962</v>
      </c>
      <c r="U357">
        <f t="shared" ca="1" si="56"/>
        <v>3.4926883673322529E-2</v>
      </c>
      <c r="V357">
        <f t="shared" ca="1" si="57"/>
        <v>0.70406235369775494</v>
      </c>
      <c r="W357">
        <f t="shared" ca="1" si="61"/>
        <v>0.73898923737107747</v>
      </c>
      <c r="X357">
        <f t="shared" ca="1" si="62"/>
        <v>105.51964025733865</v>
      </c>
    </row>
    <row r="358" spans="1:24" x14ac:dyDescent="0.25">
      <c r="A358">
        <f t="shared" ca="1" si="53"/>
        <v>105.56043572734359</v>
      </c>
      <c r="N358">
        <f t="shared" si="58"/>
        <v>1.4416666666666629</v>
      </c>
      <c r="O358" cm="1">
        <f t="array" aca="1" ref="O358" ca="1">mu*dt_1*R357</f>
        <v>4.1738216662295206E-2</v>
      </c>
      <c r="P358">
        <f t="shared" ca="1" si="54"/>
        <v>0.73590750006135297</v>
      </c>
      <c r="Q358">
        <f t="shared" ca="1" si="59"/>
        <v>0.77764571672364813</v>
      </c>
      <c r="R358">
        <f t="shared" ca="1" si="60"/>
        <v>125.99229570360929</v>
      </c>
      <c r="T358">
        <f t="shared" si="55"/>
        <v>1.4416666666666629</v>
      </c>
      <c r="U358">
        <f t="shared" ca="1" si="56"/>
        <v>3.5173213419112878E-2</v>
      </c>
      <c r="V358">
        <f t="shared" ca="1" si="57"/>
        <v>5.6222565858262954E-3</v>
      </c>
      <c r="W358">
        <f t="shared" ca="1" si="61"/>
        <v>4.0795470004939174E-2</v>
      </c>
      <c r="X358">
        <f t="shared" ca="1" si="62"/>
        <v>105.56043572734359</v>
      </c>
    </row>
    <row r="359" spans="1:24" x14ac:dyDescent="0.25">
      <c r="A359">
        <f t="shared" ca="1" si="53"/>
        <v>106.10566268007244</v>
      </c>
      <c r="N359">
        <f t="shared" si="58"/>
        <v>1.4458333333333295</v>
      </c>
      <c r="O359" cm="1">
        <f t="array" aca="1" ref="O359" ca="1">mu*dt_1*R358</f>
        <v>4.1997431901203093E-2</v>
      </c>
      <c r="P359">
        <f t="shared" ca="1" si="54"/>
        <v>1.3816905735671592</v>
      </c>
      <c r="Q359">
        <f t="shared" ca="1" si="59"/>
        <v>1.4236880054683623</v>
      </c>
      <c r="R359">
        <f t="shared" ca="1" si="60"/>
        <v>127.41598370907765</v>
      </c>
      <c r="T359">
        <f t="shared" si="55"/>
        <v>1.4458333333333295</v>
      </c>
      <c r="U359">
        <f t="shared" ca="1" si="56"/>
        <v>3.5186811909114532E-2</v>
      </c>
      <c r="V359">
        <f t="shared" ca="1" si="57"/>
        <v>0.51004014081974347</v>
      </c>
      <c r="W359">
        <f t="shared" ca="1" si="61"/>
        <v>0.54522695272885802</v>
      </c>
      <c r="X359">
        <f t="shared" ca="1" si="62"/>
        <v>106.10566268007244</v>
      </c>
    </row>
    <row r="360" spans="1:24" x14ac:dyDescent="0.25">
      <c r="A360">
        <f t="shared" ca="1" si="53"/>
        <v>107.12169675154747</v>
      </c>
      <c r="N360">
        <f t="shared" si="58"/>
        <v>1.4499999999999962</v>
      </c>
      <c r="O360" cm="1">
        <f t="array" aca="1" ref="O360" ca="1">mu*dt_1*R359</f>
        <v>4.2471994569692549E-2</v>
      </c>
      <c r="P360">
        <f t="shared" ca="1" si="54"/>
        <v>-2.6153474787418514</v>
      </c>
      <c r="Q360">
        <f t="shared" ca="1" si="59"/>
        <v>-2.5728754841721586</v>
      </c>
      <c r="R360">
        <f t="shared" ca="1" si="60"/>
        <v>124.84310822490549</v>
      </c>
      <c r="T360">
        <f t="shared" si="55"/>
        <v>1.4499999999999962</v>
      </c>
      <c r="U360">
        <f t="shared" ca="1" si="56"/>
        <v>3.5368554226690815E-2</v>
      </c>
      <c r="V360">
        <f t="shared" ca="1" si="57"/>
        <v>0.98066551724834616</v>
      </c>
      <c r="W360">
        <f t="shared" ca="1" si="61"/>
        <v>1.0160340714750369</v>
      </c>
      <c r="X360">
        <f t="shared" ca="1" si="62"/>
        <v>107.12169675154747</v>
      </c>
    </row>
    <row r="361" spans="1:24" x14ac:dyDescent="0.25">
      <c r="A361">
        <f t="shared" ca="1" si="53"/>
        <v>108.05667311175618</v>
      </c>
      <c r="N361">
        <f t="shared" si="58"/>
        <v>1.4541666666666628</v>
      </c>
      <c r="O361" cm="1">
        <f t="array" aca="1" ref="O361" ca="1">mu*dt_1*R360</f>
        <v>4.1614369408301828E-2</v>
      </c>
      <c r="P361">
        <f t="shared" ca="1" si="54"/>
        <v>0.8387999735788092</v>
      </c>
      <c r="Q361">
        <f t="shared" ca="1" si="59"/>
        <v>0.88041434298711108</v>
      </c>
      <c r="R361">
        <f t="shared" ca="1" si="60"/>
        <v>125.7235225678926</v>
      </c>
      <c r="T361">
        <f t="shared" si="55"/>
        <v>1.4541666666666628</v>
      </c>
      <c r="U361">
        <f t="shared" ca="1" si="56"/>
        <v>3.5707232250515829E-2</v>
      </c>
      <c r="V361">
        <f t="shared" ca="1" si="57"/>
        <v>0.89926912795819136</v>
      </c>
      <c r="W361">
        <f t="shared" ca="1" si="61"/>
        <v>0.93497636020870722</v>
      </c>
      <c r="X361">
        <f t="shared" ca="1" si="62"/>
        <v>108.05667311175618</v>
      </c>
    </row>
    <row r="362" spans="1:24" x14ac:dyDescent="0.25">
      <c r="A362">
        <f t="shared" ca="1" si="53"/>
        <v>108.36082421163222</v>
      </c>
      <c r="N362">
        <f t="shared" si="58"/>
        <v>1.4583333333333295</v>
      </c>
      <c r="O362" cm="1">
        <f t="array" aca="1" ref="O362" ca="1">mu*dt_1*R361</f>
        <v>4.1907840855964197E-2</v>
      </c>
      <c r="P362">
        <f t="shared" ca="1" si="54"/>
        <v>-0.85680427757991351</v>
      </c>
      <c r="Q362">
        <f t="shared" ca="1" si="59"/>
        <v>-0.81489643672394929</v>
      </c>
      <c r="R362">
        <f t="shared" ca="1" si="60"/>
        <v>124.90862613116865</v>
      </c>
      <c r="T362">
        <f t="shared" si="55"/>
        <v>1.4583333333333295</v>
      </c>
      <c r="U362">
        <f t="shared" ca="1" si="56"/>
        <v>3.6018891037252067E-2</v>
      </c>
      <c r="V362">
        <f t="shared" ca="1" si="57"/>
        <v>0.26813220883878958</v>
      </c>
      <c r="W362">
        <f t="shared" ca="1" si="61"/>
        <v>0.30415109987604166</v>
      </c>
      <c r="X362">
        <f t="shared" ca="1" si="62"/>
        <v>108.36082421163222</v>
      </c>
    </row>
    <row r="363" spans="1:24" x14ac:dyDescent="0.25">
      <c r="A363">
        <f t="shared" ca="1" si="53"/>
        <v>105.70189823168164</v>
      </c>
      <c r="N363">
        <f t="shared" si="58"/>
        <v>1.4624999999999961</v>
      </c>
      <c r="O363" cm="1">
        <f t="array" aca="1" ref="O363" ca="1">mu*dt_1*R362</f>
        <v>4.1636208710389547E-2</v>
      </c>
      <c r="P363">
        <f t="shared" ca="1" si="54"/>
        <v>-1.8183966906910114</v>
      </c>
      <c r="Q363">
        <f t="shared" ca="1" si="59"/>
        <v>-1.7767604819806218</v>
      </c>
      <c r="R363">
        <f t="shared" ca="1" si="60"/>
        <v>123.13186564918803</v>
      </c>
      <c r="T363">
        <f t="shared" si="55"/>
        <v>1.4624999999999961</v>
      </c>
      <c r="U363">
        <f t="shared" ca="1" si="56"/>
        <v>3.6120274737210738E-2</v>
      </c>
      <c r="V363">
        <f t="shared" ca="1" si="57"/>
        <v>-2.6950462546877958</v>
      </c>
      <c r="W363">
        <f t="shared" ca="1" si="61"/>
        <v>-2.6589259799505851</v>
      </c>
      <c r="X363">
        <f t="shared" ca="1" si="62"/>
        <v>105.70189823168164</v>
      </c>
    </row>
    <row r="364" spans="1:24" x14ac:dyDescent="0.25">
      <c r="A364">
        <f t="shared" ca="1" si="53"/>
        <v>107.54372641422759</v>
      </c>
      <c r="N364">
        <f t="shared" si="58"/>
        <v>1.4666666666666628</v>
      </c>
      <c r="O364" cm="1">
        <f t="array" aca="1" ref="O364" ca="1">mu*dt_1*R363</f>
        <v>4.1043955216396005E-2</v>
      </c>
      <c r="P364">
        <f t="shared" ca="1" si="54"/>
        <v>1.0131404533324253</v>
      </c>
      <c r="Q364">
        <f t="shared" ca="1" si="59"/>
        <v>1.0541844085488212</v>
      </c>
      <c r="R364">
        <f t="shared" ca="1" si="60"/>
        <v>124.18605005773685</v>
      </c>
      <c r="T364">
        <f t="shared" si="55"/>
        <v>1.4666666666666628</v>
      </c>
      <c r="U364">
        <f t="shared" ca="1" si="56"/>
        <v>3.5233966077227209E-2</v>
      </c>
      <c r="V364">
        <f t="shared" ca="1" si="57"/>
        <v>1.8065942164687327</v>
      </c>
      <c r="W364">
        <f t="shared" ca="1" si="61"/>
        <v>1.8418281825459599</v>
      </c>
      <c r="X364">
        <f t="shared" ca="1" si="62"/>
        <v>107.54372641422759</v>
      </c>
    </row>
    <row r="365" spans="1:24" x14ac:dyDescent="0.25">
      <c r="A365">
        <f t="shared" ca="1" si="53"/>
        <v>105.96983153448687</v>
      </c>
      <c r="N365">
        <f t="shared" si="58"/>
        <v>1.4708333333333294</v>
      </c>
      <c r="O365" cm="1">
        <f t="array" aca="1" ref="O365" ca="1">mu*dt_1*R364</f>
        <v>4.1395350019245616E-2</v>
      </c>
      <c r="P365">
        <f t="shared" ca="1" si="54"/>
        <v>-1.1822708298113926</v>
      </c>
      <c r="Q365">
        <f t="shared" ca="1" si="59"/>
        <v>-1.140875479792147</v>
      </c>
      <c r="R365">
        <f t="shared" ca="1" si="60"/>
        <v>123.04517457794471</v>
      </c>
      <c r="T365">
        <f t="shared" si="55"/>
        <v>1.4708333333333294</v>
      </c>
      <c r="U365">
        <f t="shared" ca="1" si="56"/>
        <v>3.5847908804742534E-2</v>
      </c>
      <c r="V365">
        <f t="shared" ca="1" si="57"/>
        <v>-1.6097427885454605</v>
      </c>
      <c r="W365">
        <f t="shared" ca="1" si="61"/>
        <v>-1.573894879740718</v>
      </c>
      <c r="X365">
        <f t="shared" ca="1" si="62"/>
        <v>105.96983153448687</v>
      </c>
    </row>
    <row r="366" spans="1:24" x14ac:dyDescent="0.25">
      <c r="A366">
        <f t="shared" ca="1" si="53"/>
        <v>105.57666789989256</v>
      </c>
      <c r="N366">
        <f t="shared" si="58"/>
        <v>1.4749999999999961</v>
      </c>
      <c r="O366" cm="1">
        <f t="array" aca="1" ref="O366" ca="1">mu*dt_1*R365</f>
        <v>4.1015058192648231E-2</v>
      </c>
      <c r="P366">
        <f t="shared" ca="1" si="54"/>
        <v>1.2807188633037228</v>
      </c>
      <c r="Q366">
        <f t="shared" ca="1" si="59"/>
        <v>1.321733921496371</v>
      </c>
      <c r="R366">
        <f t="shared" ca="1" si="60"/>
        <v>124.36690849944108</v>
      </c>
      <c r="T366">
        <f t="shared" si="55"/>
        <v>1.4749999999999961</v>
      </c>
      <c r="U366">
        <f t="shared" ca="1" si="56"/>
        <v>3.5323277178162291E-2</v>
      </c>
      <c r="V366">
        <f t="shared" ca="1" si="57"/>
        <v>-0.42848691177247544</v>
      </c>
      <c r="W366">
        <f t="shared" ca="1" si="61"/>
        <v>-0.39316363459431314</v>
      </c>
      <c r="X366">
        <f t="shared" ca="1" si="62"/>
        <v>105.57666789989256</v>
      </c>
    </row>
    <row r="367" spans="1:24" x14ac:dyDescent="0.25">
      <c r="A367">
        <f t="shared" ca="1" si="53"/>
        <v>109.45377581724748</v>
      </c>
      <c r="N367">
        <f t="shared" si="58"/>
        <v>1.4791666666666627</v>
      </c>
      <c r="O367" cm="1">
        <f t="array" aca="1" ref="O367" ca="1">mu*dt_1*R366</f>
        <v>4.1455636166480361E-2</v>
      </c>
      <c r="P367">
        <f t="shared" ca="1" si="54"/>
        <v>-0.45372897860092021</v>
      </c>
      <c r="Q367">
        <f t="shared" ca="1" si="59"/>
        <v>-0.41227334243443986</v>
      </c>
      <c r="R367">
        <f t="shared" ca="1" si="60"/>
        <v>123.95463515700663</v>
      </c>
      <c r="T367">
        <f t="shared" si="55"/>
        <v>1.4791666666666627</v>
      </c>
      <c r="U367">
        <f t="shared" ca="1" si="56"/>
        <v>3.5192222633297514E-2</v>
      </c>
      <c r="V367">
        <f t="shared" ca="1" si="57"/>
        <v>3.8419156947216289</v>
      </c>
      <c r="W367">
        <f t="shared" ca="1" si="61"/>
        <v>3.8771079173549263</v>
      </c>
      <c r="X367">
        <f t="shared" ca="1" si="62"/>
        <v>109.45377581724748</v>
      </c>
    </row>
    <row r="368" spans="1:24" x14ac:dyDescent="0.25">
      <c r="A368">
        <f t="shared" ca="1" si="53"/>
        <v>109.11815304081593</v>
      </c>
      <c r="N368">
        <f t="shared" si="58"/>
        <v>1.4833333333333294</v>
      </c>
      <c r="O368" cm="1">
        <f t="array" aca="1" ref="O368" ca="1">mu*dt_1*R367</f>
        <v>4.1318211719002212E-2</v>
      </c>
      <c r="P368">
        <f t="shared" ca="1" si="54"/>
        <v>-1.2574991850304515</v>
      </c>
      <c r="Q368">
        <f t="shared" ca="1" si="59"/>
        <v>-1.2161809733114493</v>
      </c>
      <c r="R368">
        <f t="shared" ca="1" si="60"/>
        <v>122.73845418369518</v>
      </c>
      <c r="T368">
        <f t="shared" si="55"/>
        <v>1.4833333333333294</v>
      </c>
      <c r="U368">
        <f t="shared" ca="1" si="56"/>
        <v>3.6484591939082489E-2</v>
      </c>
      <c r="V368">
        <f t="shared" ca="1" si="57"/>
        <v>-0.37210736837063035</v>
      </c>
      <c r="W368">
        <f t="shared" ca="1" si="61"/>
        <v>-0.33562277643154786</v>
      </c>
      <c r="X368">
        <f t="shared" ca="1" si="62"/>
        <v>109.11815304081593</v>
      </c>
    </row>
    <row r="369" spans="1:24" x14ac:dyDescent="0.25">
      <c r="A369">
        <f t="shared" ca="1" si="53"/>
        <v>110.82870756770835</v>
      </c>
      <c r="N369">
        <f t="shared" si="58"/>
        <v>1.487499999999996</v>
      </c>
      <c r="O369" cm="1">
        <f t="array" aca="1" ref="O369" ca="1">mu*dt_1*R368</f>
        <v>4.0912818061231725E-2</v>
      </c>
      <c r="P369">
        <f t="shared" ca="1" si="54"/>
        <v>-0.46852480030160037</v>
      </c>
      <c r="Q369">
        <f t="shared" ca="1" si="59"/>
        <v>-0.42761198224036867</v>
      </c>
      <c r="R369">
        <f t="shared" ca="1" si="60"/>
        <v>122.31084220145482</v>
      </c>
      <c r="T369">
        <f t="shared" si="55"/>
        <v>1.487499999999996</v>
      </c>
      <c r="U369">
        <f t="shared" ca="1" si="56"/>
        <v>3.6372717680271976E-2</v>
      </c>
      <c r="V369">
        <f t="shared" ca="1" si="57"/>
        <v>1.6741818092121517</v>
      </c>
      <c r="W369">
        <f t="shared" ca="1" si="61"/>
        <v>1.7105545268924236</v>
      </c>
      <c r="X369">
        <f t="shared" ca="1" si="62"/>
        <v>110.82870756770835</v>
      </c>
    </row>
    <row r="370" spans="1:24" x14ac:dyDescent="0.25">
      <c r="A370">
        <f t="shared" ca="1" si="53"/>
        <v>109.22735267207054</v>
      </c>
      <c r="N370">
        <f t="shared" si="58"/>
        <v>1.4916666666666627</v>
      </c>
      <c r="O370" cm="1">
        <f t="array" aca="1" ref="O370" ca="1">mu*dt_1*R369</f>
        <v>4.0770280733818269E-2</v>
      </c>
      <c r="P370">
        <f t="shared" ca="1" si="54"/>
        <v>0.79875357757142862</v>
      </c>
      <c r="Q370">
        <f t="shared" ca="1" si="59"/>
        <v>0.8395238583052469</v>
      </c>
      <c r="R370">
        <f t="shared" ca="1" si="60"/>
        <v>123.15036605976006</v>
      </c>
      <c r="T370">
        <f t="shared" si="55"/>
        <v>1.4916666666666627</v>
      </c>
      <c r="U370">
        <f t="shared" ca="1" si="56"/>
        <v>3.6942902522569453E-2</v>
      </c>
      <c r="V370">
        <f t="shared" ca="1" si="57"/>
        <v>-1.6382977981603755</v>
      </c>
      <c r="W370">
        <f t="shared" ca="1" si="61"/>
        <v>-1.6013548956378061</v>
      </c>
      <c r="X370">
        <f t="shared" ca="1" si="62"/>
        <v>109.22735267207054</v>
      </c>
    </row>
    <row r="371" spans="1:24" x14ac:dyDescent="0.25">
      <c r="A371">
        <f t="shared" ca="1" si="53"/>
        <v>108.07870637981372</v>
      </c>
      <c r="N371">
        <f t="shared" si="58"/>
        <v>1.4958333333333294</v>
      </c>
      <c r="O371" cm="1">
        <f t="array" aca="1" ref="O371" ca="1">mu*dt_1*R370</f>
        <v>4.1050122019920018E-2</v>
      </c>
      <c r="P371">
        <f t="shared" ca="1" si="54"/>
        <v>1.121072322715015</v>
      </c>
      <c r="Q371">
        <f t="shared" ca="1" si="59"/>
        <v>1.162122444734935</v>
      </c>
      <c r="R371">
        <f t="shared" ca="1" si="60"/>
        <v>124.31248850449499</v>
      </c>
      <c r="T371">
        <f t="shared" si="55"/>
        <v>1.4958333333333294</v>
      </c>
      <c r="U371">
        <f t="shared" ca="1" si="56"/>
        <v>3.6409117557356846E-2</v>
      </c>
      <c r="V371">
        <f t="shared" ca="1" si="57"/>
        <v>-1.1850554098141637</v>
      </c>
      <c r="W371">
        <f t="shared" ca="1" si="61"/>
        <v>-1.1486462922568068</v>
      </c>
      <c r="X371">
        <f t="shared" ca="1" si="62"/>
        <v>108.07870637981372</v>
      </c>
    </row>
    <row r="372" spans="1:24" x14ac:dyDescent="0.25">
      <c r="A372">
        <f t="shared" ca="1" si="53"/>
        <v>109.746285605609</v>
      </c>
      <c r="N372">
        <f t="shared" si="58"/>
        <v>1.499999999999996</v>
      </c>
      <c r="O372" cm="1">
        <f t="array" aca="1" ref="O372" ca="1">mu*dt_1*R371</f>
        <v>4.1437496168164993E-2</v>
      </c>
      <c r="P372">
        <f t="shared" ca="1" si="54"/>
        <v>-2.6050502606833992</v>
      </c>
      <c r="Q372">
        <f t="shared" ca="1" si="59"/>
        <v>-2.5636127645152342</v>
      </c>
      <c r="R372">
        <f t="shared" ca="1" si="60"/>
        <v>121.74887573997975</v>
      </c>
      <c r="T372">
        <f t="shared" si="55"/>
        <v>1.499999999999996</v>
      </c>
      <c r="U372">
        <f t="shared" ca="1" si="56"/>
        <v>3.6026235459937904E-2</v>
      </c>
      <c r="V372">
        <f t="shared" ca="1" si="57"/>
        <v>1.6315529903353438</v>
      </c>
      <c r="W372">
        <f t="shared" ca="1" si="61"/>
        <v>1.6675792257952817</v>
      </c>
      <c r="X372">
        <f t="shared" ca="1" si="62"/>
        <v>109.746285605609</v>
      </c>
    </row>
    <row r="373" spans="1:24" x14ac:dyDescent="0.25">
      <c r="A373">
        <f t="shared" ca="1" si="53"/>
        <v>108.09169218086409</v>
      </c>
      <c r="N373">
        <f t="shared" si="58"/>
        <v>1.5041666666666627</v>
      </c>
      <c r="O373" cm="1">
        <f t="array" aca="1" ref="O373" ca="1">mu*dt_1*R372</f>
        <v>4.058295857999325E-2</v>
      </c>
      <c r="P373">
        <f t="shared" ca="1" si="54"/>
        <v>-2.2268668061437569</v>
      </c>
      <c r="Q373">
        <f t="shared" ca="1" si="59"/>
        <v>-2.1862838475637636</v>
      </c>
      <c r="R373">
        <f t="shared" ca="1" si="60"/>
        <v>119.56259189241599</v>
      </c>
      <c r="T373">
        <f t="shared" si="55"/>
        <v>1.5041666666666627</v>
      </c>
      <c r="U373">
        <f t="shared" ca="1" si="56"/>
        <v>3.6582095201869662E-2</v>
      </c>
      <c r="V373">
        <f t="shared" ca="1" si="57"/>
        <v>-1.6911755199467817</v>
      </c>
      <c r="W373">
        <f t="shared" ca="1" si="61"/>
        <v>-1.6545934247449121</v>
      </c>
      <c r="X373">
        <f t="shared" ca="1" si="62"/>
        <v>108.09169218086409</v>
      </c>
    </row>
    <row r="374" spans="1:24" x14ac:dyDescent="0.25">
      <c r="A374">
        <f t="shared" ca="1" si="53"/>
        <v>109.71606913504769</v>
      </c>
      <c r="N374">
        <f t="shared" si="58"/>
        <v>1.5083333333333293</v>
      </c>
      <c r="O374" cm="1">
        <f t="array" aca="1" ref="O374" ca="1">mu*dt_1*R373</f>
        <v>3.9854197297471999E-2</v>
      </c>
      <c r="P374">
        <f t="shared" ca="1" si="54"/>
        <v>4.811508704539473E-2</v>
      </c>
      <c r="Q374">
        <f t="shared" ca="1" si="59"/>
        <v>8.796928434286673E-2</v>
      </c>
      <c r="R374">
        <f t="shared" ca="1" si="60"/>
        <v>119.65056117675886</v>
      </c>
      <c r="T374">
        <f t="shared" si="55"/>
        <v>1.5083333333333293</v>
      </c>
      <c r="U374">
        <f t="shared" ca="1" si="56"/>
        <v>3.6030564060288033E-2</v>
      </c>
      <c r="V374">
        <f t="shared" ca="1" si="57"/>
        <v>1.5883463901233161</v>
      </c>
      <c r="W374">
        <f t="shared" ca="1" si="61"/>
        <v>1.6243769541836042</v>
      </c>
      <c r="X374">
        <f t="shared" ca="1" si="62"/>
        <v>109.71606913504769</v>
      </c>
    </row>
    <row r="375" spans="1:24" x14ac:dyDescent="0.25">
      <c r="A375">
        <f t="shared" ca="1" si="53"/>
        <v>108.17957740356384</v>
      </c>
      <c r="N375">
        <f t="shared" si="58"/>
        <v>1.512499999999996</v>
      </c>
      <c r="O375" cm="1">
        <f t="array" aca="1" ref="O375" ca="1">mu*dt_1*R374</f>
        <v>3.9883520392252951E-2</v>
      </c>
      <c r="P375">
        <f t="shared" ca="1" si="54"/>
        <v>-0.69791314152099682</v>
      </c>
      <c r="Q375">
        <f t="shared" ca="1" si="59"/>
        <v>-0.65802962112874386</v>
      </c>
      <c r="R375">
        <f t="shared" ca="1" si="60"/>
        <v>118.99253155563011</v>
      </c>
      <c r="T375">
        <f t="shared" si="55"/>
        <v>1.512499999999996</v>
      </c>
      <c r="U375">
        <f t="shared" ca="1" si="56"/>
        <v>3.6572023045015903E-2</v>
      </c>
      <c r="V375">
        <f t="shared" ca="1" si="57"/>
        <v>-1.5730637545288697</v>
      </c>
      <c r="W375">
        <f t="shared" ca="1" si="61"/>
        <v>-1.5364917314838538</v>
      </c>
      <c r="X375">
        <f t="shared" ca="1" si="62"/>
        <v>108.17957740356384</v>
      </c>
    </row>
    <row r="376" spans="1:24" x14ac:dyDescent="0.25">
      <c r="A376">
        <f t="shared" ca="1" si="53"/>
        <v>109.53888485598046</v>
      </c>
      <c r="N376">
        <f t="shared" si="58"/>
        <v>1.5166666666666626</v>
      </c>
      <c r="O376" cm="1">
        <f t="array" aca="1" ref="O376" ca="1">mu*dt_1*R375</f>
        <v>3.9664177185210037E-2</v>
      </c>
      <c r="P376">
        <f t="shared" ca="1" si="54"/>
        <v>-0.70903295408958189</v>
      </c>
      <c r="Q376">
        <f t="shared" ca="1" si="59"/>
        <v>-0.66936877690437191</v>
      </c>
      <c r="R376">
        <f t="shared" ca="1" si="60"/>
        <v>118.32316277872573</v>
      </c>
      <c r="T376">
        <f t="shared" si="55"/>
        <v>1.5166666666666626</v>
      </c>
      <c r="U376">
        <f t="shared" ca="1" si="56"/>
        <v>3.6059859134521283E-2</v>
      </c>
      <c r="V376">
        <f t="shared" ca="1" si="57"/>
        <v>1.3232475932820942</v>
      </c>
      <c r="W376">
        <f t="shared" ca="1" si="61"/>
        <v>1.3593074524166155</v>
      </c>
      <c r="X376">
        <f t="shared" ca="1" si="62"/>
        <v>109.53888485598046</v>
      </c>
    </row>
    <row r="377" spans="1:24" x14ac:dyDescent="0.25">
      <c r="A377">
        <f t="shared" ca="1" si="53"/>
        <v>109.57326742230261</v>
      </c>
      <c r="N377">
        <f t="shared" si="58"/>
        <v>1.5208333333333293</v>
      </c>
      <c r="O377" cm="1">
        <f t="array" aca="1" ref="O377" ca="1">mu*dt_1*R376</f>
        <v>3.9441054259575239E-2</v>
      </c>
      <c r="P377">
        <f t="shared" ca="1" si="54"/>
        <v>2.8247249643473471</v>
      </c>
      <c r="Q377">
        <f t="shared" ca="1" si="59"/>
        <v>2.8641660186069222</v>
      </c>
      <c r="R377">
        <f t="shared" ca="1" si="60"/>
        <v>121.18732879733265</v>
      </c>
      <c r="T377">
        <f t="shared" si="55"/>
        <v>1.5208333333333293</v>
      </c>
      <c r="U377">
        <f t="shared" ca="1" si="56"/>
        <v>3.6512961618660154E-2</v>
      </c>
      <c r="V377">
        <f t="shared" ca="1" si="57"/>
        <v>-2.1303952965119138E-3</v>
      </c>
      <c r="W377">
        <f t="shared" ca="1" si="61"/>
        <v>3.4382566322148242E-2</v>
      </c>
      <c r="X377">
        <f t="shared" ca="1" si="62"/>
        <v>109.57326742230261</v>
      </c>
    </row>
    <row r="378" spans="1:24" x14ac:dyDescent="0.25">
      <c r="A378">
        <f t="shared" ca="1" si="53"/>
        <v>107.81281684712258</v>
      </c>
      <c r="N378">
        <f t="shared" si="58"/>
        <v>1.5249999999999959</v>
      </c>
      <c r="O378" cm="1">
        <f t="array" aca="1" ref="O378" ca="1">mu*dt_1*R377</f>
        <v>4.0395776265777547E-2</v>
      </c>
      <c r="P378">
        <f t="shared" ca="1" si="54"/>
        <v>-3.2536538343281869</v>
      </c>
      <c r="Q378">
        <f t="shared" ca="1" si="59"/>
        <v>-3.2132580580624093</v>
      </c>
      <c r="R378">
        <f t="shared" ca="1" si="60"/>
        <v>117.97407073927025</v>
      </c>
      <c r="T378">
        <f t="shared" si="55"/>
        <v>1.5249999999999959</v>
      </c>
      <c r="U378">
        <f t="shared" ca="1" si="56"/>
        <v>3.6524422474100864E-2</v>
      </c>
      <c r="V378">
        <f t="shared" ca="1" si="57"/>
        <v>-1.7969749976541369</v>
      </c>
      <c r="W378">
        <f t="shared" ca="1" si="61"/>
        <v>-1.7604505751800361</v>
      </c>
      <c r="X378">
        <f t="shared" ca="1" si="62"/>
        <v>107.81281684712258</v>
      </c>
    </row>
    <row r="379" spans="1:24" x14ac:dyDescent="0.25">
      <c r="A379">
        <f t="shared" ca="1" si="53"/>
        <v>108.53257334777371</v>
      </c>
      <c r="N379">
        <f t="shared" si="58"/>
        <v>1.5291666666666626</v>
      </c>
      <c r="O379" cm="1">
        <f t="array" aca="1" ref="O379" ca="1">mu*dt_1*R378</f>
        <v>3.9324690246423412E-2</v>
      </c>
      <c r="P379">
        <f t="shared" ca="1" si="54"/>
        <v>0.45430966042522902</v>
      </c>
      <c r="Q379">
        <f t="shared" ca="1" si="59"/>
        <v>0.49363435067165246</v>
      </c>
      <c r="R379">
        <f t="shared" ca="1" si="60"/>
        <v>118.4677050899419</v>
      </c>
      <c r="T379">
        <f t="shared" si="55"/>
        <v>1.5291666666666626</v>
      </c>
      <c r="U379">
        <f t="shared" ca="1" si="56"/>
        <v>3.5937605615707524E-2</v>
      </c>
      <c r="V379">
        <f t="shared" ca="1" si="57"/>
        <v>0.68381889503541948</v>
      </c>
      <c r="W379">
        <f t="shared" ca="1" si="61"/>
        <v>0.71975650065112706</v>
      </c>
      <c r="X379">
        <f t="shared" ca="1" si="62"/>
        <v>108.53257334777371</v>
      </c>
    </row>
    <row r="380" spans="1:24" x14ac:dyDescent="0.25">
      <c r="A380">
        <f t="shared" ca="1" si="53"/>
        <v>107.81178960247702</v>
      </c>
      <c r="N380">
        <f t="shared" si="58"/>
        <v>1.5333333333333292</v>
      </c>
      <c r="O380" cm="1">
        <f t="array" aca="1" ref="O380" ca="1">mu*dt_1*R379</f>
        <v>3.9489235029980634E-2</v>
      </c>
      <c r="P380">
        <f t="shared" ca="1" si="54"/>
        <v>4.5402089022012898E-2</v>
      </c>
      <c r="Q380">
        <f t="shared" ca="1" si="59"/>
        <v>8.4891324051993539E-2</v>
      </c>
      <c r="R380">
        <f t="shared" ca="1" si="60"/>
        <v>118.5525964139939</v>
      </c>
      <c r="T380">
        <f t="shared" si="55"/>
        <v>1.5333333333333292</v>
      </c>
      <c r="U380">
        <f t="shared" ca="1" si="56"/>
        <v>3.6177524449257904E-2</v>
      </c>
      <c r="V380">
        <f t="shared" ca="1" si="57"/>
        <v>-0.75696126974593769</v>
      </c>
      <c r="W380">
        <f t="shared" ca="1" si="61"/>
        <v>-0.72078374529667977</v>
      </c>
      <c r="X380">
        <f t="shared" ca="1" si="62"/>
        <v>107.81178960247702</v>
      </c>
    </row>
    <row r="381" spans="1:24" x14ac:dyDescent="0.25">
      <c r="A381">
        <f t="shared" ca="1" si="53"/>
        <v>110.31595844193296</v>
      </c>
      <c r="N381">
        <f t="shared" si="58"/>
        <v>1.5374999999999959</v>
      </c>
      <c r="O381" cm="1">
        <f t="array" aca="1" ref="O381" ca="1">mu*dt_1*R380</f>
        <v>3.9517532137997961E-2</v>
      </c>
      <c r="P381">
        <f t="shared" ca="1" si="54"/>
        <v>-0.34903180985341536</v>
      </c>
      <c r="Q381">
        <f t="shared" ca="1" si="59"/>
        <v>-0.3095142777154174</v>
      </c>
      <c r="R381">
        <f t="shared" ca="1" si="60"/>
        <v>118.24308213627847</v>
      </c>
      <c r="T381">
        <f t="shared" si="55"/>
        <v>1.5374999999999959</v>
      </c>
      <c r="U381">
        <f t="shared" ca="1" si="56"/>
        <v>3.5937263200825673E-2</v>
      </c>
      <c r="V381">
        <f t="shared" ca="1" si="57"/>
        <v>2.4682315762551204</v>
      </c>
      <c r="W381">
        <f t="shared" ca="1" si="61"/>
        <v>2.504168839455946</v>
      </c>
      <c r="X381">
        <f t="shared" ca="1" si="62"/>
        <v>110.31595844193296</v>
      </c>
    </row>
    <row r="382" spans="1:24" x14ac:dyDescent="0.25">
      <c r="A382">
        <f t="shared" ca="1" si="53"/>
        <v>112.0735840139115</v>
      </c>
      <c r="N382">
        <f t="shared" si="58"/>
        <v>1.5416666666666625</v>
      </c>
      <c r="O382" cm="1">
        <f t="array" aca="1" ref="O382" ca="1">mu*dt_1*R381</f>
        <v>3.9414360712092825E-2</v>
      </c>
      <c r="P382">
        <f t="shared" ca="1" si="54"/>
        <v>1.0188172238760258</v>
      </c>
      <c r="Q382">
        <f t="shared" ca="1" si="59"/>
        <v>1.0582315845881187</v>
      </c>
      <c r="R382">
        <f t="shared" ca="1" si="60"/>
        <v>119.30131372086659</v>
      </c>
      <c r="T382">
        <f t="shared" si="55"/>
        <v>1.5416666666666625</v>
      </c>
      <c r="U382">
        <f t="shared" ca="1" si="56"/>
        <v>3.6771986147310989E-2</v>
      </c>
      <c r="V382">
        <f t="shared" ca="1" si="57"/>
        <v>1.720853585831231</v>
      </c>
      <c r="W382">
        <f t="shared" ca="1" si="61"/>
        <v>1.7576255719785421</v>
      </c>
      <c r="X382">
        <f t="shared" ca="1" si="62"/>
        <v>112.0735840139115</v>
      </c>
    </row>
    <row r="383" spans="1:24" x14ac:dyDescent="0.25">
      <c r="A383">
        <f t="shared" ca="1" si="53"/>
        <v>112.43663260774666</v>
      </c>
      <c r="N383">
        <f t="shared" si="58"/>
        <v>1.5458333333333292</v>
      </c>
      <c r="O383" cm="1">
        <f t="array" aca="1" ref="O383" ca="1">mu*dt_1*R382</f>
        <v>3.9767104573622196E-2</v>
      </c>
      <c r="P383">
        <f t="shared" ca="1" si="54"/>
        <v>1.4143901524361015E-2</v>
      </c>
      <c r="Q383">
        <f t="shared" ca="1" si="59"/>
        <v>5.3911006097983209E-2</v>
      </c>
      <c r="R383">
        <f t="shared" ca="1" si="60"/>
        <v>119.35522472696456</v>
      </c>
      <c r="T383">
        <f t="shared" si="55"/>
        <v>1.5458333333333292</v>
      </c>
      <c r="U383">
        <f t="shared" ca="1" si="56"/>
        <v>3.7357861337970498E-2</v>
      </c>
      <c r="V383">
        <f t="shared" ca="1" si="57"/>
        <v>0.32569073249719305</v>
      </c>
      <c r="W383">
        <f t="shared" ca="1" si="61"/>
        <v>0.36304859383516352</v>
      </c>
      <c r="X383">
        <f t="shared" ca="1" si="62"/>
        <v>112.43663260774666</v>
      </c>
    </row>
    <row r="384" spans="1:24" x14ac:dyDescent="0.25">
      <c r="A384">
        <f t="shared" ca="1" si="53"/>
        <v>112.30093671156222</v>
      </c>
      <c r="N384">
        <f t="shared" si="58"/>
        <v>1.5499999999999958</v>
      </c>
      <c r="O384" cm="1">
        <f t="array" aca="1" ref="O384" ca="1">mu*dt_1*R383</f>
        <v>3.9785074908988187E-2</v>
      </c>
      <c r="P384">
        <f t="shared" ca="1" si="54"/>
        <v>2.1710454411431948</v>
      </c>
      <c r="Q384">
        <f t="shared" ca="1" si="59"/>
        <v>2.2108305160521828</v>
      </c>
      <c r="R384">
        <f t="shared" ca="1" si="60"/>
        <v>121.56605524301675</v>
      </c>
      <c r="T384">
        <f t="shared" si="55"/>
        <v>1.5499999999999958</v>
      </c>
      <c r="U384">
        <f t="shared" ca="1" si="56"/>
        <v>3.7478877535915549E-2</v>
      </c>
      <c r="V384">
        <f t="shared" ca="1" si="57"/>
        <v>-0.17317477372035844</v>
      </c>
      <c r="W384">
        <f t="shared" ca="1" si="61"/>
        <v>-0.13569589618444289</v>
      </c>
      <c r="X384">
        <f t="shared" ca="1" si="62"/>
        <v>112.30093671156222</v>
      </c>
    </row>
    <row r="385" spans="1:24" x14ac:dyDescent="0.25">
      <c r="A385">
        <f t="shared" ca="1" si="53"/>
        <v>112.69573960492758</v>
      </c>
      <c r="N385">
        <f t="shared" si="58"/>
        <v>1.5541666666666625</v>
      </c>
      <c r="O385" cm="1">
        <f t="array" aca="1" ref="O385" ca="1">mu*dt_1*R384</f>
        <v>4.0522018414338917E-2</v>
      </c>
      <c r="P385">
        <f t="shared" ca="1" si="54"/>
        <v>0.36371559861505653</v>
      </c>
      <c r="Q385">
        <f t="shared" ca="1" si="59"/>
        <v>0.40423761702939542</v>
      </c>
      <c r="R385">
        <f t="shared" ca="1" si="60"/>
        <v>121.97029286004614</v>
      </c>
      <c r="T385">
        <f t="shared" si="55"/>
        <v>1.5541666666666625</v>
      </c>
      <c r="U385">
        <f t="shared" ca="1" si="56"/>
        <v>3.7433645570520743E-2</v>
      </c>
      <c r="V385">
        <f t="shared" ca="1" si="57"/>
        <v>0.35736924779484952</v>
      </c>
      <c r="W385">
        <f t="shared" ca="1" si="61"/>
        <v>0.39480289336537028</v>
      </c>
      <c r="X385">
        <f t="shared" ca="1" si="62"/>
        <v>112.69573960492758</v>
      </c>
    </row>
    <row r="386" spans="1:24" x14ac:dyDescent="0.25">
      <c r="A386">
        <f t="shared" ca="1" si="53"/>
        <v>110.4189871289902</v>
      </c>
      <c r="N386">
        <f t="shared" si="58"/>
        <v>1.5583333333333291</v>
      </c>
      <c r="O386" cm="1">
        <f t="array" aca="1" ref="O386" ca="1">mu*dt_1*R385</f>
        <v>4.0656764286682044E-2</v>
      </c>
      <c r="P386">
        <f t="shared" ca="1" si="54"/>
        <v>2.4045560314633869</v>
      </c>
      <c r="Q386">
        <f t="shared" ca="1" si="59"/>
        <v>2.4452127957500691</v>
      </c>
      <c r="R386">
        <f t="shared" ca="1" si="60"/>
        <v>124.41550565579621</v>
      </c>
      <c r="T386">
        <f t="shared" si="55"/>
        <v>1.5583333333333291</v>
      </c>
      <c r="U386">
        <f t="shared" ca="1" si="56"/>
        <v>3.7565246534975859E-2</v>
      </c>
      <c r="V386">
        <f t="shared" ca="1" si="57"/>
        <v>-2.3143177224723663</v>
      </c>
      <c r="W386">
        <f t="shared" ca="1" si="61"/>
        <v>-2.2767524759373905</v>
      </c>
      <c r="X386">
        <f t="shared" ca="1" si="62"/>
        <v>110.4189871289902</v>
      </c>
    </row>
    <row r="387" spans="1:24" x14ac:dyDescent="0.25">
      <c r="A387">
        <f t="shared" ca="1" si="53"/>
        <v>112.40620609755676</v>
      </c>
      <c r="N387">
        <f t="shared" si="58"/>
        <v>1.5624999999999958</v>
      </c>
      <c r="O387" cm="1">
        <f t="array" aca="1" ref="O387" ca="1">mu*dt_1*R386</f>
        <v>4.1471835218598735E-2</v>
      </c>
      <c r="P387">
        <f t="shared" ca="1" si="54"/>
        <v>-2.056337237327563</v>
      </c>
      <c r="Q387">
        <f t="shared" ca="1" si="59"/>
        <v>-2.0148654021089643</v>
      </c>
      <c r="R387">
        <f t="shared" ca="1" si="60"/>
        <v>122.40064025368724</v>
      </c>
      <c r="T387">
        <f t="shared" si="55"/>
        <v>1.5624999999999958</v>
      </c>
      <c r="U387">
        <f t="shared" ca="1" si="56"/>
        <v>3.6806329042996737E-2</v>
      </c>
      <c r="V387">
        <f t="shared" ca="1" si="57"/>
        <v>1.9504126395235637</v>
      </c>
      <c r="W387">
        <f t="shared" ca="1" si="61"/>
        <v>1.9872189685665604</v>
      </c>
      <c r="X387">
        <f t="shared" ca="1" si="62"/>
        <v>112.40620609755676</v>
      </c>
    </row>
    <row r="388" spans="1:24" x14ac:dyDescent="0.25">
      <c r="A388">
        <f t="shared" ca="1" si="53"/>
        <v>112.50475308305616</v>
      </c>
      <c r="N388">
        <f t="shared" si="58"/>
        <v>1.5666666666666624</v>
      </c>
      <c r="O388" cm="1">
        <f t="array" aca="1" ref="O388" ca="1">mu*dt_1*R387</f>
        <v>4.0800213417895748E-2</v>
      </c>
      <c r="P388">
        <f t="shared" ca="1" si="54"/>
        <v>-0.36094532856604888</v>
      </c>
      <c r="Q388">
        <f t="shared" ca="1" si="59"/>
        <v>-0.32014511514815314</v>
      </c>
      <c r="R388">
        <f t="shared" ca="1" si="60"/>
        <v>122.08049513853909</v>
      </c>
      <c r="T388">
        <f t="shared" si="55"/>
        <v>1.5666666666666624</v>
      </c>
      <c r="U388">
        <f t="shared" ca="1" si="56"/>
        <v>3.7468735365852254E-2</v>
      </c>
      <c r="V388">
        <f t="shared" ca="1" si="57"/>
        <v>6.1078250133550088E-2</v>
      </c>
      <c r="W388">
        <f t="shared" ca="1" si="61"/>
        <v>9.8546985499402343E-2</v>
      </c>
      <c r="X388">
        <f t="shared" ca="1" si="62"/>
        <v>112.50475308305616</v>
      </c>
    </row>
    <row r="389" spans="1:24" x14ac:dyDescent="0.25">
      <c r="A389">
        <f t="shared" ca="1" si="53"/>
        <v>113.86934319698113</v>
      </c>
      <c r="N389">
        <f t="shared" si="58"/>
        <v>1.5708333333333291</v>
      </c>
      <c r="O389" cm="1">
        <f t="array" aca="1" ref="O389" ca="1">mu*dt_1*R388</f>
        <v>4.0693498379513027E-2</v>
      </c>
      <c r="P389">
        <f t="shared" ca="1" si="54"/>
        <v>0.74110310028161142</v>
      </c>
      <c r="Q389">
        <f t="shared" ca="1" si="59"/>
        <v>0.78179659866112439</v>
      </c>
      <c r="R389">
        <f t="shared" ca="1" si="60"/>
        <v>122.86229173720022</v>
      </c>
      <c r="T389">
        <f t="shared" si="55"/>
        <v>1.5708333333333291</v>
      </c>
      <c r="U389">
        <f t="shared" ca="1" si="56"/>
        <v>3.7501584361018719E-2</v>
      </c>
      <c r="V389">
        <f t="shared" ca="1" si="57"/>
        <v>1.3270885295639614</v>
      </c>
      <c r="W389">
        <f t="shared" ca="1" si="61"/>
        <v>1.3645901139249801</v>
      </c>
      <c r="X389">
        <f t="shared" ca="1" si="62"/>
        <v>113.86934319698113</v>
      </c>
    </row>
    <row r="390" spans="1:24" x14ac:dyDescent="0.25">
      <c r="A390">
        <f t="shared" ca="1" si="53"/>
        <v>110.66770550538394</v>
      </c>
      <c r="N390">
        <f t="shared" si="58"/>
        <v>1.5749999999999957</v>
      </c>
      <c r="O390" cm="1">
        <f t="array" aca="1" ref="O390" ca="1">mu*dt_1*R389</f>
        <v>4.0954097245733408E-2</v>
      </c>
      <c r="P390">
        <f t="shared" ca="1" si="54"/>
        <v>-1.1887908787883799</v>
      </c>
      <c r="Q390">
        <f t="shared" ca="1" si="59"/>
        <v>-1.1478367815426465</v>
      </c>
      <c r="R390">
        <f t="shared" ca="1" si="60"/>
        <v>121.71445495565757</v>
      </c>
      <c r="T390">
        <f t="shared" si="55"/>
        <v>1.5749999999999957</v>
      </c>
      <c r="U390">
        <f t="shared" ca="1" si="56"/>
        <v>3.795644773232705E-2</v>
      </c>
      <c r="V390">
        <f t="shared" ca="1" si="57"/>
        <v>-3.2395941393295193</v>
      </c>
      <c r="W390">
        <f t="shared" ca="1" si="61"/>
        <v>-3.2016376915971922</v>
      </c>
      <c r="X390">
        <f t="shared" ca="1" si="62"/>
        <v>110.66770550538394</v>
      </c>
    </row>
    <row r="391" spans="1:24" x14ac:dyDescent="0.25">
      <c r="A391">
        <f t="shared" ca="1" si="53"/>
        <v>110.62576534693549</v>
      </c>
      <c r="N391">
        <f t="shared" si="58"/>
        <v>1.5791666666666624</v>
      </c>
      <c r="O391" cm="1">
        <f t="array" aca="1" ref="O391" ca="1">mu*dt_1*R390</f>
        <v>4.0571484985219189E-2</v>
      </c>
      <c r="P391">
        <f t="shared" ca="1" si="54"/>
        <v>0.72198413829089458</v>
      </c>
      <c r="Q391">
        <f t="shared" ca="1" si="59"/>
        <v>0.76255562327611381</v>
      </c>
      <c r="R391">
        <f t="shared" ca="1" si="60"/>
        <v>122.47701057893369</v>
      </c>
      <c r="T391">
        <f t="shared" si="55"/>
        <v>1.5791666666666624</v>
      </c>
      <c r="U391">
        <f t="shared" ca="1" si="56"/>
        <v>3.6889235168461314E-2</v>
      </c>
      <c r="V391">
        <f t="shared" ca="1" si="57"/>
        <v>-7.8829393616902638E-2</v>
      </c>
      <c r="W391">
        <f t="shared" ca="1" si="61"/>
        <v>-4.1940158448441324E-2</v>
      </c>
      <c r="X391">
        <f t="shared" ca="1" si="62"/>
        <v>110.62576534693549</v>
      </c>
    </row>
    <row r="392" spans="1:24" x14ac:dyDescent="0.25">
      <c r="A392">
        <f t="shared" ca="1" si="53"/>
        <v>111.83988907333847</v>
      </c>
      <c r="N392">
        <f t="shared" si="58"/>
        <v>1.583333333333329</v>
      </c>
      <c r="O392" cm="1">
        <f t="array" aca="1" ref="O392" ca="1">mu*dt_1*R391</f>
        <v>4.0825670192977892E-2</v>
      </c>
      <c r="P392">
        <f t="shared" ca="1" si="54"/>
        <v>1.9034358229632782</v>
      </c>
      <c r="Q392">
        <f t="shared" ca="1" si="59"/>
        <v>1.9442614931562561</v>
      </c>
      <c r="R392">
        <f t="shared" ca="1" si="60"/>
        <v>124.42127207208995</v>
      </c>
      <c r="T392">
        <f t="shared" si="55"/>
        <v>1.583333333333329</v>
      </c>
      <c r="U392">
        <f t="shared" ca="1" si="56"/>
        <v>3.6875255115645163E-2</v>
      </c>
      <c r="V392">
        <f t="shared" ca="1" si="57"/>
        <v>1.1772484712873312</v>
      </c>
      <c r="W392">
        <f t="shared" ca="1" si="61"/>
        <v>1.2141237264029765</v>
      </c>
      <c r="X392">
        <f t="shared" ca="1" si="62"/>
        <v>111.83988907333847</v>
      </c>
    </row>
    <row r="393" spans="1:24" x14ac:dyDescent="0.25">
      <c r="A393">
        <f t="shared" ca="1" si="53"/>
        <v>111.52336392747094</v>
      </c>
      <c r="N393">
        <f t="shared" si="58"/>
        <v>1.5874999999999957</v>
      </c>
      <c r="O393" cm="1">
        <f t="array" aca="1" ref="O393" ca="1">mu*dt_1*R392</f>
        <v>4.1473757357363313E-2</v>
      </c>
      <c r="P393">
        <f t="shared" ca="1" si="54"/>
        <v>-0.95613648285407715</v>
      </c>
      <c r="Q393">
        <f t="shared" ca="1" si="59"/>
        <v>-0.91466272549671379</v>
      </c>
      <c r="R393">
        <f t="shared" ca="1" si="60"/>
        <v>123.50660934659324</v>
      </c>
      <c r="T393">
        <f t="shared" si="55"/>
        <v>1.5874999999999957</v>
      </c>
      <c r="U393">
        <f t="shared" ca="1" si="56"/>
        <v>3.7279963024446153E-2</v>
      </c>
      <c r="V393">
        <f t="shared" ca="1" si="57"/>
        <v>-0.35380510889198308</v>
      </c>
      <c r="W393">
        <f t="shared" ca="1" si="61"/>
        <v>-0.31652514586753694</v>
      </c>
      <c r="X393">
        <f t="shared" ca="1" si="62"/>
        <v>111.52336392747094</v>
      </c>
    </row>
    <row r="394" spans="1:24" x14ac:dyDescent="0.25">
      <c r="A394">
        <f t="shared" ca="1" si="53"/>
        <v>111.68724219037802</v>
      </c>
      <c r="N394">
        <f t="shared" si="58"/>
        <v>1.5916666666666623</v>
      </c>
      <c r="O394" cm="1">
        <f t="array" aca="1" ref="O394" ca="1">mu*dt_1*R393</f>
        <v>4.1168869782197741E-2</v>
      </c>
      <c r="P394">
        <f t="shared" ca="1" si="54"/>
        <v>-0.21200091274592028</v>
      </c>
      <c r="Q394">
        <f t="shared" ca="1" si="59"/>
        <v>-0.17083204296372254</v>
      </c>
      <c r="R394">
        <f t="shared" ca="1" si="60"/>
        <v>123.33577730362951</v>
      </c>
      <c r="T394">
        <f t="shared" si="55"/>
        <v>1.5916666666666623</v>
      </c>
      <c r="U394">
        <f t="shared" ca="1" si="56"/>
        <v>3.7174454642490307E-2</v>
      </c>
      <c r="V394">
        <f t="shared" ca="1" si="57"/>
        <v>0.12670380826458769</v>
      </c>
      <c r="W394">
        <f t="shared" ca="1" si="61"/>
        <v>0.16387826290707799</v>
      </c>
      <c r="X394">
        <f t="shared" ca="1" si="62"/>
        <v>111.68724219037802</v>
      </c>
    </row>
    <row r="395" spans="1:24" x14ac:dyDescent="0.25">
      <c r="A395">
        <f t="shared" ca="1" si="53"/>
        <v>110.78238795428602</v>
      </c>
      <c r="N395">
        <f t="shared" si="58"/>
        <v>1.595833333333329</v>
      </c>
      <c r="O395" cm="1">
        <f t="array" aca="1" ref="O395" ca="1">mu*dt_1*R394</f>
        <v>4.1111925767876506E-2</v>
      </c>
      <c r="P395">
        <f t="shared" ca="1" si="54"/>
        <v>-0.99766724753275826</v>
      </c>
      <c r="Q395">
        <f t="shared" ca="1" si="59"/>
        <v>-0.95655532176488178</v>
      </c>
      <c r="R395">
        <f t="shared" ca="1" si="60"/>
        <v>122.37922198186463</v>
      </c>
      <c r="T395">
        <f t="shared" si="55"/>
        <v>1.595833333333329</v>
      </c>
      <c r="U395">
        <f t="shared" ca="1" si="56"/>
        <v>3.7229080730126006E-2</v>
      </c>
      <c r="V395">
        <f t="shared" ca="1" si="57"/>
        <v>-0.94208331682212165</v>
      </c>
      <c r="W395">
        <f t="shared" ca="1" si="61"/>
        <v>-0.90485423609199567</v>
      </c>
      <c r="X395">
        <f t="shared" ca="1" si="62"/>
        <v>110.78238795428602</v>
      </c>
    </row>
    <row r="396" spans="1:24" x14ac:dyDescent="0.25">
      <c r="A396">
        <f t="shared" ca="1" si="53"/>
        <v>109.06860515035379</v>
      </c>
      <c r="N396">
        <f t="shared" si="58"/>
        <v>1.5999999999999956</v>
      </c>
      <c r="O396" cm="1">
        <f t="array" aca="1" ref="O396" ca="1">mu*dt_1*R395</f>
        <v>4.0793073993954876E-2</v>
      </c>
      <c r="P396">
        <f t="shared" ca="1" si="54"/>
        <v>7.4547164348615523E-3</v>
      </c>
      <c r="Q396">
        <f t="shared" ca="1" si="59"/>
        <v>4.8247790428816426E-2</v>
      </c>
      <c r="R396">
        <f t="shared" ca="1" si="60"/>
        <v>122.42746977229345</v>
      </c>
      <c r="T396">
        <f t="shared" si="55"/>
        <v>1.5999999999999956</v>
      </c>
      <c r="U396">
        <f t="shared" ca="1" si="56"/>
        <v>3.6927462651428676E-2</v>
      </c>
      <c r="V396">
        <f t="shared" ca="1" si="57"/>
        <v>-1.7507102665836609</v>
      </c>
      <c r="W396">
        <f t="shared" ca="1" si="61"/>
        <v>-1.7137828039322323</v>
      </c>
      <c r="X396">
        <f t="shared" ca="1" si="62"/>
        <v>109.06860515035379</v>
      </c>
    </row>
    <row r="397" spans="1:24" x14ac:dyDescent="0.25">
      <c r="A397">
        <f t="shared" ref="A397:A460" ca="1" si="63">MIN(R397,X397)</f>
        <v>107.35695570739854</v>
      </c>
      <c r="N397">
        <f t="shared" si="58"/>
        <v>1.6041666666666623</v>
      </c>
      <c r="O397" cm="1">
        <f t="array" aca="1" ref="O397" ca="1">mu*dt_1*R396</f>
        <v>4.0809156590764478E-2</v>
      </c>
      <c r="P397">
        <f t="shared" ref="P397:P460" ca="1" si="64">_xlfn.NORM.INV(RAND(),0,1)*SQRT(dt_1)*sigma1*R396</f>
        <v>1.179860803942119</v>
      </c>
      <c r="Q397">
        <f t="shared" ca="1" si="59"/>
        <v>1.2206699605328835</v>
      </c>
      <c r="R397">
        <f t="shared" ca="1" si="60"/>
        <v>123.64813973282634</v>
      </c>
      <c r="T397">
        <f t="shared" ref="T397:T460" si="65">T396+dt_2</f>
        <v>1.6041666666666623</v>
      </c>
      <c r="U397">
        <f t="shared" ref="U397:U460" ca="1" si="66">mu_2*X396*dt_2</f>
        <v>3.6356201716784595E-2</v>
      </c>
      <c r="V397">
        <f t="shared" ref="V397:V460" ca="1" si="67">(rho*P397/sigma1/R396+SQRT(1-rho^2)*_xlfn.NORM.INV(RAND(),0,1)*SQRT(dt_2))*sigma2*X396</f>
        <v>-1.7480056446720282</v>
      </c>
      <c r="W397">
        <f t="shared" ca="1" si="61"/>
        <v>-1.7116494429552436</v>
      </c>
      <c r="X397">
        <f t="shared" ca="1" si="62"/>
        <v>107.35695570739854</v>
      </c>
    </row>
    <row r="398" spans="1:24" x14ac:dyDescent="0.25">
      <c r="A398">
        <f t="shared" ca="1" si="63"/>
        <v>106.24680580011292</v>
      </c>
      <c r="N398">
        <f t="shared" ref="N398:N461" si="68">N397+$C$8</f>
        <v>1.608333333333329</v>
      </c>
      <c r="O398" cm="1">
        <f t="array" aca="1" ref="O398" ca="1">mu*dt_1*R397</f>
        <v>4.1216046577608779E-2</v>
      </c>
      <c r="P398">
        <f t="shared" ca="1" si="64"/>
        <v>0.96113688919350326</v>
      </c>
      <c r="Q398">
        <f t="shared" ref="Q398:Q461" ca="1" si="69">O398+P398</f>
        <v>1.0023529357711121</v>
      </c>
      <c r="R398">
        <f t="shared" ref="R398:R461" ca="1" si="70">R397+Q398</f>
        <v>124.65049266859745</v>
      </c>
      <c r="T398">
        <f t="shared" si="65"/>
        <v>1.608333333333329</v>
      </c>
      <c r="U398">
        <f t="shared" ca="1" si="66"/>
        <v>3.578565190246618E-2</v>
      </c>
      <c r="V398">
        <f t="shared" ca="1" si="67"/>
        <v>-1.1459355591880844</v>
      </c>
      <c r="W398">
        <f t="shared" ref="W398:W461" ca="1" si="71">U398+V398</f>
        <v>-1.1101499072856182</v>
      </c>
      <c r="X398">
        <f t="shared" ref="X398:X461" ca="1" si="72">X397+W398</f>
        <v>106.24680580011292</v>
      </c>
    </row>
    <row r="399" spans="1:24" x14ac:dyDescent="0.25">
      <c r="A399">
        <f t="shared" ca="1" si="63"/>
        <v>105.85626397047716</v>
      </c>
      <c r="N399">
        <f t="shared" si="68"/>
        <v>1.6124999999999956</v>
      </c>
      <c r="O399" cm="1">
        <f t="array" aca="1" ref="O399" ca="1">mu*dt_1*R398</f>
        <v>4.1550164222865817E-2</v>
      </c>
      <c r="P399">
        <f t="shared" ca="1" si="64"/>
        <v>-1.3345635032596646</v>
      </c>
      <c r="Q399">
        <f t="shared" ca="1" si="69"/>
        <v>-1.2930133390367988</v>
      </c>
      <c r="R399">
        <f t="shared" ca="1" si="70"/>
        <v>123.35747932956065</v>
      </c>
      <c r="T399">
        <f t="shared" si="65"/>
        <v>1.6124999999999956</v>
      </c>
      <c r="U399">
        <f t="shared" ca="1" si="66"/>
        <v>3.5415601933370976E-2</v>
      </c>
      <c r="V399">
        <f t="shared" ca="1" si="67"/>
        <v>-0.42595743156913513</v>
      </c>
      <c r="W399">
        <f t="shared" ca="1" si="71"/>
        <v>-0.39054182963576417</v>
      </c>
      <c r="X399">
        <f t="shared" ca="1" si="72"/>
        <v>105.85626397047716</v>
      </c>
    </row>
    <row r="400" spans="1:24" x14ac:dyDescent="0.25">
      <c r="A400">
        <f t="shared" ca="1" si="63"/>
        <v>106.35114309148065</v>
      </c>
      <c r="N400">
        <f t="shared" si="68"/>
        <v>1.6166666666666623</v>
      </c>
      <c r="O400" cm="1">
        <f t="array" aca="1" ref="O400" ca="1">mu*dt_1*R399</f>
        <v>4.1119159776520212E-2</v>
      </c>
      <c r="P400">
        <f t="shared" ca="1" si="64"/>
        <v>-0.57658554300141396</v>
      </c>
      <c r="Q400">
        <f t="shared" ca="1" si="69"/>
        <v>-0.5354663832248937</v>
      </c>
      <c r="R400">
        <f t="shared" ca="1" si="70"/>
        <v>122.82201294633575</v>
      </c>
      <c r="T400">
        <f t="shared" si="65"/>
        <v>1.6166666666666623</v>
      </c>
      <c r="U400">
        <f t="shared" ca="1" si="66"/>
        <v>3.5285421323492383E-2</v>
      </c>
      <c r="V400">
        <f t="shared" ca="1" si="67"/>
        <v>0.45959369967999736</v>
      </c>
      <c r="W400">
        <f t="shared" ca="1" si="71"/>
        <v>0.49487912100348974</v>
      </c>
      <c r="X400">
        <f t="shared" ca="1" si="72"/>
        <v>106.35114309148065</v>
      </c>
    </row>
    <row r="401" spans="1:24" x14ac:dyDescent="0.25">
      <c r="A401">
        <f t="shared" ca="1" si="63"/>
        <v>106.92622294011629</v>
      </c>
      <c r="N401">
        <f t="shared" si="68"/>
        <v>1.6208333333333289</v>
      </c>
      <c r="O401" cm="1">
        <f t="array" aca="1" ref="O401" ca="1">mu*dt_1*R400</f>
        <v>4.0940670982111911E-2</v>
      </c>
      <c r="P401">
        <f t="shared" ca="1" si="64"/>
        <v>0.27136243699822976</v>
      </c>
      <c r="Q401">
        <f t="shared" ca="1" si="69"/>
        <v>0.31230310798034167</v>
      </c>
      <c r="R401">
        <f t="shared" ca="1" si="70"/>
        <v>123.13431605431609</v>
      </c>
      <c r="T401">
        <f t="shared" si="65"/>
        <v>1.6208333333333289</v>
      </c>
      <c r="U401">
        <f t="shared" ca="1" si="66"/>
        <v>3.5450381030493555E-2</v>
      </c>
      <c r="V401">
        <f t="shared" ca="1" si="67"/>
        <v>0.53962946760514618</v>
      </c>
      <c r="W401">
        <f t="shared" ca="1" si="71"/>
        <v>0.57507984863563977</v>
      </c>
      <c r="X401">
        <f t="shared" ca="1" si="72"/>
        <v>106.92622294011629</v>
      </c>
    </row>
    <row r="402" spans="1:24" x14ac:dyDescent="0.25">
      <c r="A402">
        <f t="shared" ca="1" si="63"/>
        <v>107.70887967201863</v>
      </c>
      <c r="N402">
        <f t="shared" si="68"/>
        <v>1.6249999999999956</v>
      </c>
      <c r="O402" cm="1">
        <f t="array" aca="1" ref="O402" ca="1">mu*dt_1*R401</f>
        <v>4.1044772018105365E-2</v>
      </c>
      <c r="P402">
        <f t="shared" ca="1" si="64"/>
        <v>-1.6777265589193564</v>
      </c>
      <c r="Q402">
        <f t="shared" ca="1" si="69"/>
        <v>-1.6366817869012511</v>
      </c>
      <c r="R402">
        <f t="shared" ca="1" si="70"/>
        <v>121.49763426741484</v>
      </c>
      <c r="T402">
        <f t="shared" si="65"/>
        <v>1.6249999999999956</v>
      </c>
      <c r="U402">
        <f t="shared" ca="1" si="66"/>
        <v>3.5642074313372095E-2</v>
      </c>
      <c r="V402">
        <f t="shared" ca="1" si="67"/>
        <v>0.74701465758896191</v>
      </c>
      <c r="W402">
        <f t="shared" ca="1" si="71"/>
        <v>0.78265673190233398</v>
      </c>
      <c r="X402">
        <f t="shared" ca="1" si="72"/>
        <v>107.70887967201863</v>
      </c>
    </row>
    <row r="403" spans="1:24" x14ac:dyDescent="0.25">
      <c r="A403">
        <f t="shared" ca="1" si="63"/>
        <v>109.76032397498626</v>
      </c>
      <c r="N403">
        <f t="shared" si="68"/>
        <v>1.6291666666666622</v>
      </c>
      <c r="O403" cm="1">
        <f t="array" aca="1" ref="O403" ca="1">mu*dt_1*R402</f>
        <v>4.0499211422471613E-2</v>
      </c>
      <c r="P403">
        <f t="shared" ca="1" si="64"/>
        <v>1.2958491535868351</v>
      </c>
      <c r="Q403">
        <f t="shared" ca="1" si="69"/>
        <v>1.3363483650093066</v>
      </c>
      <c r="R403">
        <f t="shared" ca="1" si="70"/>
        <v>122.83398263242414</v>
      </c>
      <c r="T403">
        <f t="shared" si="65"/>
        <v>1.6291666666666622</v>
      </c>
      <c r="U403">
        <f t="shared" ca="1" si="66"/>
        <v>3.5902959890672874E-2</v>
      </c>
      <c r="V403">
        <f t="shared" ca="1" si="67"/>
        <v>2.0155413430769591</v>
      </c>
      <c r="W403">
        <f t="shared" ca="1" si="71"/>
        <v>2.0514443029676319</v>
      </c>
      <c r="X403">
        <f t="shared" ca="1" si="72"/>
        <v>109.76032397498626</v>
      </c>
    </row>
    <row r="404" spans="1:24" x14ac:dyDescent="0.25">
      <c r="A404">
        <f t="shared" ca="1" si="63"/>
        <v>108.6740358708804</v>
      </c>
      <c r="N404">
        <f t="shared" si="68"/>
        <v>1.6333333333333289</v>
      </c>
      <c r="O404" cm="1">
        <f t="array" aca="1" ref="O404" ca="1">mu*dt_1*R403</f>
        <v>4.0944660877474712E-2</v>
      </c>
      <c r="P404">
        <f t="shared" ca="1" si="64"/>
        <v>0.76097545926607357</v>
      </c>
      <c r="Q404">
        <f t="shared" ca="1" si="69"/>
        <v>0.8019201201435483</v>
      </c>
      <c r="R404">
        <f t="shared" ca="1" si="70"/>
        <v>123.63590275256769</v>
      </c>
      <c r="T404">
        <f t="shared" si="65"/>
        <v>1.6333333333333289</v>
      </c>
      <c r="U404">
        <f t="shared" ca="1" si="66"/>
        <v>3.6586774658328755E-2</v>
      </c>
      <c r="V404">
        <f t="shared" ca="1" si="67"/>
        <v>-1.1228748787641867</v>
      </c>
      <c r="W404">
        <f t="shared" ca="1" si="71"/>
        <v>-1.0862881041058579</v>
      </c>
      <c r="X404">
        <f t="shared" ca="1" si="72"/>
        <v>108.6740358708804</v>
      </c>
    </row>
    <row r="405" spans="1:24" x14ac:dyDescent="0.25">
      <c r="A405">
        <f t="shared" ca="1" si="63"/>
        <v>106.73995318329398</v>
      </c>
      <c r="N405">
        <f t="shared" si="68"/>
        <v>1.6374999999999955</v>
      </c>
      <c r="O405" cm="1">
        <f t="array" aca="1" ref="O405" ca="1">mu*dt_1*R404</f>
        <v>4.1211967584189227E-2</v>
      </c>
      <c r="P405">
        <f t="shared" ca="1" si="64"/>
        <v>0.26545898591424422</v>
      </c>
      <c r="Q405">
        <f t="shared" ca="1" si="69"/>
        <v>0.30667095349843343</v>
      </c>
      <c r="R405">
        <f t="shared" ca="1" si="70"/>
        <v>123.94257370606613</v>
      </c>
      <c r="T405">
        <f t="shared" si="65"/>
        <v>1.6374999999999955</v>
      </c>
      <c r="U405">
        <f t="shared" ca="1" si="66"/>
        <v>3.6224678623626799E-2</v>
      </c>
      <c r="V405">
        <f t="shared" ca="1" si="67"/>
        <v>-1.9703073662100541</v>
      </c>
      <c r="W405">
        <f t="shared" ca="1" si="71"/>
        <v>-1.9340826875864272</v>
      </c>
      <c r="X405">
        <f t="shared" ca="1" si="72"/>
        <v>106.73995318329398</v>
      </c>
    </row>
    <row r="406" spans="1:24" x14ac:dyDescent="0.25">
      <c r="A406">
        <f t="shared" ca="1" si="63"/>
        <v>105.03358299791894</v>
      </c>
      <c r="N406">
        <f t="shared" si="68"/>
        <v>1.6416666666666622</v>
      </c>
      <c r="O406" cm="1">
        <f t="array" aca="1" ref="O406" ca="1">mu*dt_1*R405</f>
        <v>4.1314191235355374E-2</v>
      </c>
      <c r="P406">
        <f t="shared" ca="1" si="64"/>
        <v>1.9015252623429364</v>
      </c>
      <c r="Q406">
        <f t="shared" ca="1" si="69"/>
        <v>1.9428394535782918</v>
      </c>
      <c r="R406">
        <f t="shared" ca="1" si="70"/>
        <v>125.88541315964441</v>
      </c>
      <c r="T406">
        <f t="shared" si="65"/>
        <v>1.6416666666666622</v>
      </c>
      <c r="U406">
        <f t="shared" ca="1" si="66"/>
        <v>3.557998439443133E-2</v>
      </c>
      <c r="V406">
        <f t="shared" ca="1" si="67"/>
        <v>-1.7419501697694613</v>
      </c>
      <c r="W406">
        <f t="shared" ca="1" si="71"/>
        <v>-1.7063701853750299</v>
      </c>
      <c r="X406">
        <f t="shared" ca="1" si="72"/>
        <v>105.03358299791894</v>
      </c>
    </row>
    <row r="407" spans="1:24" x14ac:dyDescent="0.25">
      <c r="A407">
        <f t="shared" ca="1" si="63"/>
        <v>106.17995477865371</v>
      </c>
      <c r="N407">
        <f t="shared" si="68"/>
        <v>1.6458333333333288</v>
      </c>
      <c r="O407" cm="1">
        <f t="array" aca="1" ref="O407" ca="1">mu*dt_1*R406</f>
        <v>4.1961804386548139E-2</v>
      </c>
      <c r="P407">
        <f t="shared" ca="1" si="64"/>
        <v>-1.0107207201503474</v>
      </c>
      <c r="Q407">
        <f t="shared" ca="1" si="69"/>
        <v>-0.96875891576379924</v>
      </c>
      <c r="R407">
        <f t="shared" ca="1" si="70"/>
        <v>124.91665424388061</v>
      </c>
      <c r="T407">
        <f t="shared" si="65"/>
        <v>1.6458333333333288</v>
      </c>
      <c r="U407">
        <f t="shared" ca="1" si="66"/>
        <v>3.5011194332639647E-2</v>
      </c>
      <c r="V407">
        <f t="shared" ca="1" si="67"/>
        <v>1.1113605864021232</v>
      </c>
      <c r="W407">
        <f t="shared" ca="1" si="71"/>
        <v>1.1463717807347629</v>
      </c>
      <c r="X407">
        <f t="shared" ca="1" si="72"/>
        <v>106.17995477865371</v>
      </c>
    </row>
    <row r="408" spans="1:24" x14ac:dyDescent="0.25">
      <c r="A408">
        <f t="shared" ca="1" si="63"/>
        <v>105.38520836002134</v>
      </c>
      <c r="N408">
        <f t="shared" si="68"/>
        <v>1.6499999999999955</v>
      </c>
      <c r="O408" cm="1">
        <f t="array" aca="1" ref="O408" ca="1">mu*dt_1*R407</f>
        <v>4.1638884747960202E-2</v>
      </c>
      <c r="P408">
        <f t="shared" ca="1" si="64"/>
        <v>0.44906628153127243</v>
      </c>
      <c r="Q408">
        <f t="shared" ca="1" si="69"/>
        <v>0.49070516627923261</v>
      </c>
      <c r="R408">
        <f t="shared" ca="1" si="70"/>
        <v>125.40735941015984</v>
      </c>
      <c r="T408">
        <f t="shared" si="65"/>
        <v>1.6499999999999955</v>
      </c>
      <c r="U408">
        <f t="shared" ca="1" si="66"/>
        <v>3.5393318259551242E-2</v>
      </c>
      <c r="V408">
        <f t="shared" ca="1" si="67"/>
        <v>-0.83013973689191967</v>
      </c>
      <c r="W408">
        <f t="shared" ca="1" si="71"/>
        <v>-0.79474641863236839</v>
      </c>
      <c r="X408">
        <f t="shared" ca="1" si="72"/>
        <v>105.38520836002134</v>
      </c>
    </row>
    <row r="409" spans="1:24" x14ac:dyDescent="0.25">
      <c r="A409">
        <f t="shared" ca="1" si="63"/>
        <v>104.06582402034341</v>
      </c>
      <c r="N409">
        <f t="shared" si="68"/>
        <v>1.6541666666666621</v>
      </c>
      <c r="O409" cm="1">
        <f t="array" aca="1" ref="O409" ca="1">mu*dt_1*R408</f>
        <v>4.1802453136719944E-2</v>
      </c>
      <c r="P409">
        <f t="shared" ca="1" si="64"/>
        <v>-3.5019239352810554</v>
      </c>
      <c r="Q409">
        <f t="shared" ca="1" si="69"/>
        <v>-3.4601214821443356</v>
      </c>
      <c r="R409">
        <f t="shared" ca="1" si="70"/>
        <v>121.94723792801551</v>
      </c>
      <c r="T409">
        <f t="shared" si="65"/>
        <v>1.6541666666666621</v>
      </c>
      <c r="U409">
        <f t="shared" ca="1" si="66"/>
        <v>3.5128402786673778E-2</v>
      </c>
      <c r="V409">
        <f t="shared" ca="1" si="67"/>
        <v>-1.3545127424646011</v>
      </c>
      <c r="W409">
        <f t="shared" ca="1" si="71"/>
        <v>-1.3193843396779272</v>
      </c>
      <c r="X409">
        <f t="shared" ca="1" si="72"/>
        <v>104.06582402034341</v>
      </c>
    </row>
    <row r="410" spans="1:24" x14ac:dyDescent="0.25">
      <c r="A410">
        <f t="shared" ca="1" si="63"/>
        <v>106.89259871241603</v>
      </c>
      <c r="N410">
        <f t="shared" si="68"/>
        <v>1.6583333333333288</v>
      </c>
      <c r="O410" cm="1">
        <f t="array" aca="1" ref="O410" ca="1">mu*dt_1*R409</f>
        <v>4.0649079309338504E-2</v>
      </c>
      <c r="P410">
        <f t="shared" ca="1" si="64"/>
        <v>0.20521494528979056</v>
      </c>
      <c r="Q410">
        <f t="shared" ca="1" si="69"/>
        <v>0.24586402459912907</v>
      </c>
      <c r="R410">
        <f t="shared" ca="1" si="70"/>
        <v>122.19310195261464</v>
      </c>
      <c r="T410">
        <f t="shared" si="65"/>
        <v>1.6583333333333288</v>
      </c>
      <c r="U410">
        <f t="shared" ca="1" si="66"/>
        <v>3.4688608006781134E-2</v>
      </c>
      <c r="V410">
        <f t="shared" ca="1" si="67"/>
        <v>2.7920860840658364</v>
      </c>
      <c r="W410">
        <f t="shared" ca="1" si="71"/>
        <v>2.8267746920726173</v>
      </c>
      <c r="X410">
        <f t="shared" ca="1" si="72"/>
        <v>106.89259871241603</v>
      </c>
    </row>
    <row r="411" spans="1:24" x14ac:dyDescent="0.25">
      <c r="A411">
        <f t="shared" ca="1" si="63"/>
        <v>107.69489373191914</v>
      </c>
      <c r="N411">
        <f t="shared" si="68"/>
        <v>1.6624999999999954</v>
      </c>
      <c r="O411" cm="1">
        <f t="array" aca="1" ref="O411" ca="1">mu*dt_1*R410</f>
        <v>4.0731033984204877E-2</v>
      </c>
      <c r="P411">
        <f t="shared" ca="1" si="64"/>
        <v>0.51975701507394978</v>
      </c>
      <c r="Q411">
        <f t="shared" ca="1" si="69"/>
        <v>0.56048804905815464</v>
      </c>
      <c r="R411">
        <f t="shared" ca="1" si="70"/>
        <v>122.75359000167279</v>
      </c>
      <c r="T411">
        <f t="shared" si="65"/>
        <v>1.6624999999999954</v>
      </c>
      <c r="U411">
        <f t="shared" ca="1" si="66"/>
        <v>3.5630866237472011E-2</v>
      </c>
      <c r="V411">
        <f t="shared" ca="1" si="67"/>
        <v>0.76666415326563175</v>
      </c>
      <c r="W411">
        <f t="shared" ca="1" si="71"/>
        <v>0.80229501950310378</v>
      </c>
      <c r="X411">
        <f t="shared" ca="1" si="72"/>
        <v>107.69489373191914</v>
      </c>
    </row>
    <row r="412" spans="1:24" x14ac:dyDescent="0.25">
      <c r="A412">
        <f t="shared" ca="1" si="63"/>
        <v>109.35877721928868</v>
      </c>
      <c r="N412">
        <f t="shared" si="68"/>
        <v>1.6666666666666621</v>
      </c>
      <c r="O412" cm="1">
        <f t="array" aca="1" ref="O412" ca="1">mu*dt_1*R411</f>
        <v>4.0917863333890928E-2</v>
      </c>
      <c r="P412">
        <f t="shared" ca="1" si="64"/>
        <v>-1.9132964436737805</v>
      </c>
      <c r="Q412">
        <f t="shared" ca="1" si="69"/>
        <v>-1.8723785803398896</v>
      </c>
      <c r="R412">
        <f t="shared" ca="1" si="70"/>
        <v>120.88121142133291</v>
      </c>
      <c r="T412">
        <f t="shared" si="65"/>
        <v>1.6666666666666621</v>
      </c>
      <c r="U412">
        <f t="shared" ca="1" si="66"/>
        <v>3.5898297910639712E-2</v>
      </c>
      <c r="V412">
        <f t="shared" ca="1" si="67"/>
        <v>1.6279851894589041</v>
      </c>
      <c r="W412">
        <f t="shared" ca="1" si="71"/>
        <v>1.6638834873695438</v>
      </c>
      <c r="X412">
        <f t="shared" ca="1" si="72"/>
        <v>109.35877721928868</v>
      </c>
    </row>
    <row r="413" spans="1:24" x14ac:dyDescent="0.25">
      <c r="A413">
        <f t="shared" ca="1" si="63"/>
        <v>110.13175692300352</v>
      </c>
      <c r="N413">
        <f t="shared" si="68"/>
        <v>1.6708333333333287</v>
      </c>
      <c r="O413" cm="1">
        <f t="array" aca="1" ref="O413" ca="1">mu*dt_1*R412</f>
        <v>4.0293737140444298E-2</v>
      </c>
      <c r="P413">
        <f t="shared" ca="1" si="64"/>
        <v>1.4092186004662</v>
      </c>
      <c r="Q413">
        <f t="shared" ca="1" si="69"/>
        <v>1.4495123376066443</v>
      </c>
      <c r="R413">
        <f t="shared" ca="1" si="70"/>
        <v>122.33072375893956</v>
      </c>
      <c r="T413">
        <f t="shared" si="65"/>
        <v>1.6708333333333287</v>
      </c>
      <c r="U413">
        <f t="shared" ca="1" si="66"/>
        <v>3.6452925739762894E-2</v>
      </c>
      <c r="V413">
        <f t="shared" ca="1" si="67"/>
        <v>0.73652677797508104</v>
      </c>
      <c r="W413">
        <f t="shared" ca="1" si="71"/>
        <v>0.77297970371484392</v>
      </c>
      <c r="X413">
        <f t="shared" ca="1" si="72"/>
        <v>110.13175692300352</v>
      </c>
    </row>
    <row r="414" spans="1:24" x14ac:dyDescent="0.25">
      <c r="A414">
        <f t="shared" ca="1" si="63"/>
        <v>111.26989360243218</v>
      </c>
      <c r="N414">
        <f t="shared" si="68"/>
        <v>1.6749999999999954</v>
      </c>
      <c r="O414" cm="1">
        <f t="array" aca="1" ref="O414" ca="1">mu*dt_1*R413</f>
        <v>4.077690791964652E-2</v>
      </c>
      <c r="P414">
        <f t="shared" ca="1" si="64"/>
        <v>-1.2154627801642381</v>
      </c>
      <c r="Q414">
        <f t="shared" ca="1" si="69"/>
        <v>-1.1746858722445916</v>
      </c>
      <c r="R414">
        <f t="shared" ca="1" si="70"/>
        <v>121.15603788669496</v>
      </c>
      <c r="T414">
        <f t="shared" si="65"/>
        <v>1.6749999999999954</v>
      </c>
      <c r="U414">
        <f t="shared" ca="1" si="66"/>
        <v>3.6710585641001173E-2</v>
      </c>
      <c r="V414">
        <f t="shared" ca="1" si="67"/>
        <v>1.1014260937876543</v>
      </c>
      <c r="W414">
        <f t="shared" ca="1" si="71"/>
        <v>1.1381366794286556</v>
      </c>
      <c r="X414">
        <f t="shared" ca="1" si="72"/>
        <v>111.26989360243218</v>
      </c>
    </row>
    <row r="415" spans="1:24" x14ac:dyDescent="0.25">
      <c r="A415">
        <f t="shared" ca="1" si="63"/>
        <v>107.16927267440369</v>
      </c>
      <c r="N415">
        <f t="shared" si="68"/>
        <v>1.679166666666662</v>
      </c>
      <c r="O415" cm="1">
        <f t="array" aca="1" ref="O415" ca="1">mu*dt_1*R414</f>
        <v>4.0385345962231652E-2</v>
      </c>
      <c r="P415">
        <f t="shared" ca="1" si="64"/>
        <v>1.1513858511635118</v>
      </c>
      <c r="Q415">
        <f t="shared" ca="1" si="69"/>
        <v>1.1917711971257434</v>
      </c>
      <c r="R415">
        <f t="shared" ca="1" si="70"/>
        <v>122.34780908382071</v>
      </c>
      <c r="T415">
        <f t="shared" si="65"/>
        <v>1.679166666666662</v>
      </c>
      <c r="U415">
        <f t="shared" ca="1" si="66"/>
        <v>3.7089964534144058E-2</v>
      </c>
      <c r="V415">
        <f t="shared" ca="1" si="67"/>
        <v>-4.1377108925626338</v>
      </c>
      <c r="W415">
        <f t="shared" ca="1" si="71"/>
        <v>-4.1006209280284898</v>
      </c>
      <c r="X415">
        <f t="shared" ca="1" si="72"/>
        <v>107.16927267440369</v>
      </c>
    </row>
    <row r="416" spans="1:24" x14ac:dyDescent="0.25">
      <c r="A416">
        <f t="shared" ca="1" si="63"/>
        <v>106.36109137953754</v>
      </c>
      <c r="N416">
        <f t="shared" si="68"/>
        <v>1.6833333333333287</v>
      </c>
      <c r="O416" cm="1">
        <f t="array" aca="1" ref="O416" ca="1">mu*dt_1*R415</f>
        <v>4.0782603027940234E-2</v>
      </c>
      <c r="P416">
        <f t="shared" ca="1" si="64"/>
        <v>1.8659450330864522</v>
      </c>
      <c r="Q416">
        <f t="shared" ca="1" si="69"/>
        <v>1.9067276361143923</v>
      </c>
      <c r="R416">
        <f t="shared" ca="1" si="70"/>
        <v>124.2545367199351</v>
      </c>
      <c r="T416">
        <f t="shared" si="65"/>
        <v>1.6833333333333287</v>
      </c>
      <c r="U416">
        <f t="shared" ca="1" si="66"/>
        <v>3.5723090891467892E-2</v>
      </c>
      <c r="V416">
        <f t="shared" ca="1" si="67"/>
        <v>-0.84390438575760685</v>
      </c>
      <c r="W416">
        <f t="shared" ca="1" si="71"/>
        <v>-0.80818129486613899</v>
      </c>
      <c r="X416">
        <f t="shared" ca="1" si="72"/>
        <v>106.36109137953754</v>
      </c>
    </row>
    <row r="417" spans="1:24" x14ac:dyDescent="0.25">
      <c r="A417">
        <f t="shared" ca="1" si="63"/>
        <v>105.90021004834358</v>
      </c>
      <c r="N417">
        <f t="shared" si="68"/>
        <v>1.6874999999999953</v>
      </c>
      <c r="O417" cm="1">
        <f t="array" aca="1" ref="O417" ca="1">mu*dt_1*R416</f>
        <v>4.141817890664503E-2</v>
      </c>
      <c r="P417">
        <f t="shared" ca="1" si="64"/>
        <v>2.7844119612684173</v>
      </c>
      <c r="Q417">
        <f t="shared" ca="1" si="69"/>
        <v>2.8258301401750625</v>
      </c>
      <c r="R417">
        <f t="shared" ca="1" si="70"/>
        <v>127.08036686011016</v>
      </c>
      <c r="T417">
        <f t="shared" si="65"/>
        <v>1.6874999999999953</v>
      </c>
      <c r="U417">
        <f t="shared" ca="1" si="66"/>
        <v>3.5453697126512515E-2</v>
      </c>
      <c r="V417">
        <f t="shared" ca="1" si="67"/>
        <v>-0.49633502832047272</v>
      </c>
      <c r="W417">
        <f t="shared" ca="1" si="71"/>
        <v>-0.46088133119396019</v>
      </c>
      <c r="X417">
        <f t="shared" ca="1" si="72"/>
        <v>105.90021004834358</v>
      </c>
    </row>
    <row r="418" spans="1:24" x14ac:dyDescent="0.25">
      <c r="A418">
        <f t="shared" ca="1" si="63"/>
        <v>106.51492094268383</v>
      </c>
      <c r="N418">
        <f t="shared" si="68"/>
        <v>1.691666666666662</v>
      </c>
      <c r="O418" cm="1">
        <f t="array" aca="1" ref="O418" ca="1">mu*dt_1*R417</f>
        <v>4.2360122286703383E-2</v>
      </c>
      <c r="P418">
        <f t="shared" ca="1" si="64"/>
        <v>-0.70591370382340712</v>
      </c>
      <c r="Q418">
        <f t="shared" ca="1" si="69"/>
        <v>-0.66355358153670374</v>
      </c>
      <c r="R418">
        <f t="shared" ca="1" si="70"/>
        <v>126.41681327857346</v>
      </c>
      <c r="T418">
        <f t="shared" si="65"/>
        <v>1.691666666666662</v>
      </c>
      <c r="U418">
        <f t="shared" ca="1" si="66"/>
        <v>3.5300070016114529E-2</v>
      </c>
      <c r="V418">
        <f t="shared" ca="1" si="67"/>
        <v>0.5794108243241306</v>
      </c>
      <c r="W418">
        <f t="shared" ca="1" si="71"/>
        <v>0.61471089434024517</v>
      </c>
      <c r="X418">
        <f t="shared" ca="1" si="72"/>
        <v>106.51492094268383</v>
      </c>
    </row>
    <row r="419" spans="1:24" x14ac:dyDescent="0.25">
      <c r="A419">
        <f t="shared" ca="1" si="63"/>
        <v>105.0003465334616</v>
      </c>
      <c r="N419">
        <f t="shared" si="68"/>
        <v>1.6958333333333286</v>
      </c>
      <c r="O419" cm="1">
        <f t="array" aca="1" ref="O419" ca="1">mu*dt_1*R418</f>
        <v>4.2138937759524486E-2</v>
      </c>
      <c r="P419">
        <f t="shared" ca="1" si="64"/>
        <v>-0.40415527605811613</v>
      </c>
      <c r="Q419">
        <f t="shared" ca="1" si="69"/>
        <v>-0.36201633829859164</v>
      </c>
      <c r="R419">
        <f t="shared" ca="1" si="70"/>
        <v>126.05479694027487</v>
      </c>
      <c r="T419">
        <f t="shared" si="65"/>
        <v>1.6958333333333286</v>
      </c>
      <c r="U419">
        <f t="shared" ca="1" si="66"/>
        <v>3.5504973647561271E-2</v>
      </c>
      <c r="V419">
        <f t="shared" ca="1" si="67"/>
        <v>-1.5500793828698001</v>
      </c>
      <c r="W419">
        <f t="shared" ca="1" si="71"/>
        <v>-1.5145744092222388</v>
      </c>
      <c r="X419">
        <f t="shared" ca="1" si="72"/>
        <v>105.0003465334616</v>
      </c>
    </row>
    <row r="420" spans="1:24" x14ac:dyDescent="0.25">
      <c r="A420">
        <f t="shared" ca="1" si="63"/>
        <v>107.88857897714425</v>
      </c>
      <c r="N420">
        <f t="shared" si="68"/>
        <v>1.6999999999999953</v>
      </c>
      <c r="O420" cm="1">
        <f t="array" aca="1" ref="O420" ca="1">mu*dt_1*R419</f>
        <v>4.2018265646758285E-2</v>
      </c>
      <c r="P420">
        <f t="shared" ca="1" si="64"/>
        <v>-1.7785256317776055E-2</v>
      </c>
      <c r="Q420">
        <f t="shared" ca="1" si="69"/>
        <v>2.423300932898223E-2</v>
      </c>
      <c r="R420">
        <f t="shared" ca="1" si="70"/>
        <v>126.07902994960385</v>
      </c>
      <c r="T420">
        <f t="shared" si="65"/>
        <v>1.6999999999999953</v>
      </c>
      <c r="U420">
        <f t="shared" ca="1" si="66"/>
        <v>3.5000115511153868E-2</v>
      </c>
      <c r="V420">
        <f t="shared" ca="1" si="67"/>
        <v>2.8532323281715009</v>
      </c>
      <c r="W420">
        <f t="shared" ca="1" si="71"/>
        <v>2.8882324436826545</v>
      </c>
      <c r="X420">
        <f t="shared" ca="1" si="72"/>
        <v>107.88857897714425</v>
      </c>
    </row>
    <row r="421" spans="1:24" x14ac:dyDescent="0.25">
      <c r="A421">
        <f t="shared" ca="1" si="63"/>
        <v>108.02164586253215</v>
      </c>
      <c r="N421">
        <f t="shared" si="68"/>
        <v>1.7041666666666619</v>
      </c>
      <c r="O421" cm="1">
        <f t="array" aca="1" ref="O421" ca="1">mu*dt_1*R420</f>
        <v>4.2026343316534619E-2</v>
      </c>
      <c r="P421">
        <f t="shared" ca="1" si="64"/>
        <v>1.3919672331756969</v>
      </c>
      <c r="Q421">
        <f t="shared" ca="1" si="69"/>
        <v>1.4339935764922316</v>
      </c>
      <c r="R421">
        <f t="shared" ca="1" si="70"/>
        <v>127.51302352609608</v>
      </c>
      <c r="T421">
        <f t="shared" si="65"/>
        <v>1.7041666666666619</v>
      </c>
      <c r="U421">
        <f t="shared" ca="1" si="66"/>
        <v>3.5962859659048087E-2</v>
      </c>
      <c r="V421">
        <f t="shared" ca="1" si="67"/>
        <v>9.7104025728852142E-2</v>
      </c>
      <c r="W421">
        <f t="shared" ca="1" si="71"/>
        <v>0.13306688538790024</v>
      </c>
      <c r="X421">
        <f t="shared" ca="1" si="72"/>
        <v>108.02164586253215</v>
      </c>
    </row>
    <row r="422" spans="1:24" x14ac:dyDescent="0.25">
      <c r="A422">
        <f t="shared" ca="1" si="63"/>
        <v>106.30830682688462</v>
      </c>
      <c r="N422">
        <f t="shared" si="68"/>
        <v>1.7083333333333286</v>
      </c>
      <c r="O422" cm="1">
        <f t="array" aca="1" ref="O422" ca="1">mu*dt_1*R421</f>
        <v>4.2504341175365355E-2</v>
      </c>
      <c r="P422">
        <f t="shared" ca="1" si="64"/>
        <v>-1.6694735886387602</v>
      </c>
      <c r="Q422">
        <f t="shared" ca="1" si="69"/>
        <v>-1.6269692474633948</v>
      </c>
      <c r="R422">
        <f t="shared" ca="1" si="70"/>
        <v>125.88605427863268</v>
      </c>
      <c r="T422">
        <f t="shared" si="65"/>
        <v>1.7083333333333286</v>
      </c>
      <c r="U422">
        <f t="shared" ca="1" si="66"/>
        <v>3.6007215287510719E-2</v>
      </c>
      <c r="V422">
        <f t="shared" ca="1" si="67"/>
        <v>-1.7493462509350466</v>
      </c>
      <c r="W422">
        <f t="shared" ca="1" si="71"/>
        <v>-1.713339035647536</v>
      </c>
      <c r="X422">
        <f t="shared" ca="1" si="72"/>
        <v>106.30830682688462</v>
      </c>
    </row>
    <row r="423" spans="1:24" x14ac:dyDescent="0.25">
      <c r="A423">
        <f t="shared" ca="1" si="63"/>
        <v>105.65520293793998</v>
      </c>
      <c r="N423">
        <f t="shared" si="68"/>
        <v>1.7124999999999952</v>
      </c>
      <c r="O423" cm="1">
        <f t="array" aca="1" ref="O423" ca="1">mu*dt_1*R422</f>
        <v>4.1962018092877564E-2</v>
      </c>
      <c r="P423">
        <f t="shared" ca="1" si="64"/>
        <v>-0.39276159835129115</v>
      </c>
      <c r="Q423">
        <f t="shared" ca="1" si="69"/>
        <v>-0.35079958025841357</v>
      </c>
      <c r="R423">
        <f t="shared" ca="1" si="70"/>
        <v>125.53525469837427</v>
      </c>
      <c r="T423">
        <f t="shared" si="65"/>
        <v>1.7124999999999952</v>
      </c>
      <c r="U423">
        <f t="shared" ca="1" si="66"/>
        <v>3.5436102275628205E-2</v>
      </c>
      <c r="V423">
        <f t="shared" ca="1" si="67"/>
        <v>-0.68853999122026843</v>
      </c>
      <c r="W423">
        <f t="shared" ca="1" si="71"/>
        <v>-0.65310388894464022</v>
      </c>
      <c r="X423">
        <f t="shared" ca="1" si="72"/>
        <v>105.65520293793998</v>
      </c>
    </row>
    <row r="424" spans="1:24" x14ac:dyDescent="0.25">
      <c r="A424">
        <f t="shared" ca="1" si="63"/>
        <v>105.43299945329919</v>
      </c>
      <c r="N424">
        <f t="shared" si="68"/>
        <v>1.7166666666666619</v>
      </c>
      <c r="O424" cm="1">
        <f t="array" aca="1" ref="O424" ca="1">mu*dt_1*R423</f>
        <v>4.1845084899458089E-2</v>
      </c>
      <c r="P424">
        <f t="shared" ca="1" si="64"/>
        <v>-2.1158410226123543</v>
      </c>
      <c r="Q424">
        <f t="shared" ca="1" si="69"/>
        <v>-2.0739959377128963</v>
      </c>
      <c r="R424">
        <f t="shared" ca="1" si="70"/>
        <v>123.46125876066138</v>
      </c>
      <c r="T424">
        <f t="shared" si="65"/>
        <v>1.7166666666666619</v>
      </c>
      <c r="U424">
        <f t="shared" ca="1" si="66"/>
        <v>3.5218400979313322E-2</v>
      </c>
      <c r="V424">
        <f t="shared" ca="1" si="67"/>
        <v>-0.25742188562009738</v>
      </c>
      <c r="W424">
        <f t="shared" ca="1" si="71"/>
        <v>-0.22220348464078404</v>
      </c>
      <c r="X424">
        <f t="shared" ca="1" si="72"/>
        <v>105.43299945329919</v>
      </c>
    </row>
    <row r="425" spans="1:24" x14ac:dyDescent="0.25">
      <c r="A425">
        <f t="shared" ca="1" si="63"/>
        <v>105.19281816996616</v>
      </c>
      <c r="N425">
        <f t="shared" si="68"/>
        <v>1.7208333333333286</v>
      </c>
      <c r="O425" cm="1">
        <f t="array" aca="1" ref="O425" ca="1">mu*dt_1*R424</f>
        <v>4.1153752920220457E-2</v>
      </c>
      <c r="P425">
        <f t="shared" ca="1" si="64"/>
        <v>-0.57135155498508972</v>
      </c>
      <c r="Q425">
        <f t="shared" ca="1" si="69"/>
        <v>-0.53019780206486922</v>
      </c>
      <c r="R425">
        <f t="shared" ca="1" si="70"/>
        <v>122.9310609585965</v>
      </c>
      <c r="T425">
        <f t="shared" si="65"/>
        <v>1.7208333333333286</v>
      </c>
      <c r="U425">
        <f t="shared" ca="1" si="66"/>
        <v>3.514433315109973E-2</v>
      </c>
      <c r="V425">
        <f t="shared" ca="1" si="67"/>
        <v>-0.27532561648413056</v>
      </c>
      <c r="W425">
        <f t="shared" ca="1" si="71"/>
        <v>-0.24018128333303085</v>
      </c>
      <c r="X425">
        <f t="shared" ca="1" si="72"/>
        <v>105.19281816996616</v>
      </c>
    </row>
    <row r="426" spans="1:24" x14ac:dyDescent="0.25">
      <c r="A426">
        <f t="shared" ca="1" si="63"/>
        <v>105.78392065712738</v>
      </c>
      <c r="N426">
        <f t="shared" si="68"/>
        <v>1.7249999999999952</v>
      </c>
      <c r="O426" cm="1">
        <f t="array" aca="1" ref="O426" ca="1">mu*dt_1*R425</f>
        <v>4.0977020319532168E-2</v>
      </c>
      <c r="P426">
        <f t="shared" ca="1" si="64"/>
        <v>0.48085349753232826</v>
      </c>
      <c r="Q426">
        <f t="shared" ca="1" si="69"/>
        <v>0.52183051785186041</v>
      </c>
      <c r="R426">
        <f t="shared" ca="1" si="70"/>
        <v>123.45289147644836</v>
      </c>
      <c r="T426">
        <f t="shared" si="65"/>
        <v>1.7249999999999952</v>
      </c>
      <c r="U426">
        <f t="shared" ca="1" si="66"/>
        <v>3.5064272723322049E-2</v>
      </c>
      <c r="V426">
        <f t="shared" ca="1" si="67"/>
        <v>0.55603821443789625</v>
      </c>
      <c r="W426">
        <f t="shared" ca="1" si="71"/>
        <v>0.59110248716121827</v>
      </c>
      <c r="X426">
        <f t="shared" ca="1" si="72"/>
        <v>105.78392065712738</v>
      </c>
    </row>
    <row r="427" spans="1:24" x14ac:dyDescent="0.25">
      <c r="A427">
        <f t="shared" ca="1" si="63"/>
        <v>105.62352304251731</v>
      </c>
      <c r="N427">
        <f t="shared" si="68"/>
        <v>1.7291666666666619</v>
      </c>
      <c r="O427" cm="1">
        <f t="array" aca="1" ref="O427" ca="1">mu*dt_1*R426</f>
        <v>4.1150963825482785E-2</v>
      </c>
      <c r="P427">
        <f t="shared" ca="1" si="64"/>
        <v>0.68311140514745539</v>
      </c>
      <c r="Q427">
        <f t="shared" ca="1" si="69"/>
        <v>0.72426236897293816</v>
      </c>
      <c r="R427">
        <f t="shared" ca="1" si="70"/>
        <v>124.1771538454213</v>
      </c>
      <c r="T427">
        <f t="shared" si="65"/>
        <v>1.7291666666666619</v>
      </c>
      <c r="U427">
        <f t="shared" ca="1" si="66"/>
        <v>3.526130688570913E-2</v>
      </c>
      <c r="V427">
        <f t="shared" ca="1" si="67"/>
        <v>-0.19565892149577885</v>
      </c>
      <c r="W427">
        <f t="shared" ca="1" si="71"/>
        <v>-0.16039761461006971</v>
      </c>
      <c r="X427">
        <f t="shared" ca="1" si="72"/>
        <v>105.62352304251731</v>
      </c>
    </row>
    <row r="428" spans="1:24" x14ac:dyDescent="0.25">
      <c r="A428">
        <f t="shared" ca="1" si="63"/>
        <v>105.31195535972195</v>
      </c>
      <c r="N428">
        <f t="shared" si="68"/>
        <v>1.7333333333333285</v>
      </c>
      <c r="O428" cm="1">
        <f t="array" aca="1" ref="O428" ca="1">mu*dt_1*R427</f>
        <v>4.1392384615140429E-2</v>
      </c>
      <c r="P428">
        <f t="shared" ca="1" si="64"/>
        <v>-3.2724482141676927</v>
      </c>
      <c r="Q428">
        <f t="shared" ca="1" si="69"/>
        <v>-3.2310558295525524</v>
      </c>
      <c r="R428">
        <f t="shared" ca="1" si="70"/>
        <v>120.94609801586876</v>
      </c>
      <c r="T428">
        <f t="shared" si="65"/>
        <v>1.7333333333333285</v>
      </c>
      <c r="U428">
        <f t="shared" ca="1" si="66"/>
        <v>3.5207841014172431E-2</v>
      </c>
      <c r="V428">
        <f t="shared" ca="1" si="67"/>
        <v>-0.34677552380952514</v>
      </c>
      <c r="W428">
        <f t="shared" ca="1" si="71"/>
        <v>-0.31156768279535274</v>
      </c>
      <c r="X428">
        <f t="shared" ca="1" si="72"/>
        <v>105.31195535972195</v>
      </c>
    </row>
    <row r="429" spans="1:24" x14ac:dyDescent="0.25">
      <c r="A429">
        <f t="shared" ca="1" si="63"/>
        <v>104.11636674872034</v>
      </c>
      <c r="N429">
        <f t="shared" si="68"/>
        <v>1.7374999999999952</v>
      </c>
      <c r="O429" cm="1">
        <f t="array" aca="1" ref="O429" ca="1">mu*dt_1*R428</f>
        <v>4.0315366005289587E-2</v>
      </c>
      <c r="P429">
        <f t="shared" ca="1" si="64"/>
        <v>-1.8469245209743828</v>
      </c>
      <c r="Q429">
        <f t="shared" ca="1" si="69"/>
        <v>-1.8066091549690932</v>
      </c>
      <c r="R429">
        <f t="shared" ca="1" si="70"/>
        <v>119.13948886089966</v>
      </c>
      <c r="T429">
        <f t="shared" si="65"/>
        <v>1.7374999999999952</v>
      </c>
      <c r="U429">
        <f t="shared" ca="1" si="66"/>
        <v>3.5103985119907317E-2</v>
      </c>
      <c r="V429">
        <f t="shared" ca="1" si="67"/>
        <v>-1.2306925961215178</v>
      </c>
      <c r="W429">
        <f t="shared" ca="1" si="71"/>
        <v>-1.1955886110016105</v>
      </c>
      <c r="X429">
        <f t="shared" ca="1" si="72"/>
        <v>104.11636674872034</v>
      </c>
    </row>
    <row r="430" spans="1:24" x14ac:dyDescent="0.25">
      <c r="A430">
        <f t="shared" ca="1" si="63"/>
        <v>101.0357869133978</v>
      </c>
      <c r="N430">
        <f t="shared" si="68"/>
        <v>1.7416666666666618</v>
      </c>
      <c r="O430" cm="1">
        <f t="array" aca="1" ref="O430" ca="1">mu*dt_1*R429</f>
        <v>3.9713162953633217E-2</v>
      </c>
      <c r="P430">
        <f t="shared" ca="1" si="64"/>
        <v>0.77548131601768344</v>
      </c>
      <c r="Q430">
        <f t="shared" ca="1" si="69"/>
        <v>0.81519447897131669</v>
      </c>
      <c r="R430">
        <f t="shared" ca="1" si="70"/>
        <v>119.95468333987098</v>
      </c>
      <c r="T430">
        <f t="shared" si="65"/>
        <v>1.7416666666666618</v>
      </c>
      <c r="U430">
        <f t="shared" ca="1" si="66"/>
        <v>3.4705455582906775E-2</v>
      </c>
      <c r="V430">
        <f t="shared" ca="1" si="67"/>
        <v>-3.1152852909054483</v>
      </c>
      <c r="W430">
        <f t="shared" ca="1" si="71"/>
        <v>-3.0805798353225415</v>
      </c>
      <c r="X430">
        <f t="shared" ca="1" si="72"/>
        <v>101.0357869133978</v>
      </c>
    </row>
    <row r="431" spans="1:24" x14ac:dyDescent="0.25">
      <c r="A431">
        <f t="shared" ca="1" si="63"/>
        <v>99.497935903570749</v>
      </c>
      <c r="N431">
        <f t="shared" si="68"/>
        <v>1.7458333333333285</v>
      </c>
      <c r="O431" cm="1">
        <f t="array" aca="1" ref="O431" ca="1">mu*dt_1*R430</f>
        <v>3.9984894446623662E-2</v>
      </c>
      <c r="P431">
        <f t="shared" ca="1" si="64"/>
        <v>-0.88964452286559825</v>
      </c>
      <c r="Q431">
        <f t="shared" ca="1" si="69"/>
        <v>-0.84965962841897458</v>
      </c>
      <c r="R431">
        <f t="shared" ca="1" si="70"/>
        <v>119.10502371145201</v>
      </c>
      <c r="T431">
        <f t="shared" si="65"/>
        <v>1.7458333333333285</v>
      </c>
      <c r="U431">
        <f t="shared" ca="1" si="66"/>
        <v>3.367859563779927E-2</v>
      </c>
      <c r="V431">
        <f t="shared" ca="1" si="67"/>
        <v>-1.5715296054648509</v>
      </c>
      <c r="W431">
        <f t="shared" ca="1" si="71"/>
        <v>-1.5378510098270517</v>
      </c>
      <c r="X431">
        <f t="shared" ca="1" si="72"/>
        <v>99.497935903570749</v>
      </c>
    </row>
    <row r="432" spans="1:24" x14ac:dyDescent="0.25">
      <c r="A432">
        <f t="shared" ca="1" si="63"/>
        <v>100.89264772859065</v>
      </c>
      <c r="N432">
        <f t="shared" si="68"/>
        <v>1.7499999999999951</v>
      </c>
      <c r="O432" cm="1">
        <f t="array" aca="1" ref="O432" ca="1">mu*dt_1*R431</f>
        <v>3.9701674570484E-2</v>
      </c>
      <c r="P432">
        <f t="shared" ca="1" si="64"/>
        <v>0.11144683733852108</v>
      </c>
      <c r="Q432">
        <f t="shared" ca="1" si="69"/>
        <v>0.15114851190900508</v>
      </c>
      <c r="R432">
        <f t="shared" ca="1" si="70"/>
        <v>119.25617222336101</v>
      </c>
      <c r="T432">
        <f t="shared" si="65"/>
        <v>1.7499999999999951</v>
      </c>
      <c r="U432">
        <f t="shared" ca="1" si="66"/>
        <v>3.3165978634523585E-2</v>
      </c>
      <c r="V432">
        <f t="shared" ca="1" si="67"/>
        <v>1.3615458463853676</v>
      </c>
      <c r="W432">
        <f t="shared" ca="1" si="71"/>
        <v>1.3947118250198911</v>
      </c>
      <c r="X432">
        <f t="shared" ca="1" si="72"/>
        <v>100.89264772859065</v>
      </c>
    </row>
    <row r="433" spans="1:24" x14ac:dyDescent="0.25">
      <c r="A433">
        <f t="shared" ca="1" si="63"/>
        <v>101.51570246198528</v>
      </c>
      <c r="N433">
        <f t="shared" si="68"/>
        <v>1.7541666666666618</v>
      </c>
      <c r="O433" cm="1">
        <f t="array" aca="1" ref="O433" ca="1">mu*dt_1*R432</f>
        <v>3.9752057407786999E-2</v>
      </c>
      <c r="P433">
        <f t="shared" ca="1" si="64"/>
        <v>-0.17471841780480432</v>
      </c>
      <c r="Q433">
        <f t="shared" ca="1" si="69"/>
        <v>-0.13496636039701732</v>
      </c>
      <c r="R433">
        <f t="shared" ca="1" si="70"/>
        <v>119.12120586296399</v>
      </c>
      <c r="T433">
        <f t="shared" si="65"/>
        <v>1.7541666666666618</v>
      </c>
      <c r="U433">
        <f t="shared" ca="1" si="66"/>
        <v>3.3630882576196883E-2</v>
      </c>
      <c r="V433">
        <f t="shared" ca="1" si="67"/>
        <v>0.58942385081844428</v>
      </c>
      <c r="W433">
        <f t="shared" ca="1" si="71"/>
        <v>0.62305473339464112</v>
      </c>
      <c r="X433">
        <f t="shared" ca="1" si="72"/>
        <v>101.51570246198528</v>
      </c>
    </row>
    <row r="434" spans="1:24" x14ac:dyDescent="0.25">
      <c r="A434">
        <f t="shared" ca="1" si="63"/>
        <v>101.08903774547129</v>
      </c>
      <c r="N434">
        <f t="shared" si="68"/>
        <v>1.7583333333333284</v>
      </c>
      <c r="O434" cm="1">
        <f t="array" aca="1" ref="O434" ca="1">mu*dt_1*R433</f>
        <v>3.9707068620987995E-2</v>
      </c>
      <c r="P434">
        <f t="shared" ca="1" si="64"/>
        <v>-7.1078795197906525E-2</v>
      </c>
      <c r="Q434">
        <f t="shared" ca="1" si="69"/>
        <v>-3.1371726576918529E-2</v>
      </c>
      <c r="R434">
        <f t="shared" ca="1" si="70"/>
        <v>119.08983413638707</v>
      </c>
      <c r="T434">
        <f t="shared" si="65"/>
        <v>1.7583333333333284</v>
      </c>
      <c r="U434">
        <f t="shared" ca="1" si="66"/>
        <v>3.3838567487328428E-2</v>
      </c>
      <c r="V434">
        <f t="shared" ca="1" si="67"/>
        <v>-0.46050328400132534</v>
      </c>
      <c r="W434">
        <f t="shared" ca="1" si="71"/>
        <v>-0.4266647165139969</v>
      </c>
      <c r="X434">
        <f t="shared" ca="1" si="72"/>
        <v>101.08903774547129</v>
      </c>
    </row>
    <row r="435" spans="1:24" x14ac:dyDescent="0.25">
      <c r="A435">
        <f t="shared" ca="1" si="63"/>
        <v>101.96297891624145</v>
      </c>
      <c r="N435">
        <f t="shared" si="68"/>
        <v>1.7624999999999951</v>
      </c>
      <c r="O435" cm="1">
        <f t="array" aca="1" ref="O435" ca="1">mu*dt_1*R434</f>
        <v>3.9696611378795689E-2</v>
      </c>
      <c r="P435">
        <f t="shared" ca="1" si="64"/>
        <v>2.2358855179038213</v>
      </c>
      <c r="Q435">
        <f t="shared" ca="1" si="69"/>
        <v>2.275582129282617</v>
      </c>
      <c r="R435">
        <f t="shared" ca="1" si="70"/>
        <v>121.36541626566968</v>
      </c>
      <c r="T435">
        <f t="shared" si="65"/>
        <v>1.7624999999999951</v>
      </c>
      <c r="U435">
        <f t="shared" ca="1" si="66"/>
        <v>3.3696345915157098E-2</v>
      </c>
      <c r="V435">
        <f t="shared" ca="1" si="67"/>
        <v>0.8402448248550024</v>
      </c>
      <c r="W435">
        <f t="shared" ca="1" si="71"/>
        <v>0.87394117077015954</v>
      </c>
      <c r="X435">
        <f t="shared" ca="1" si="72"/>
        <v>101.96297891624145</v>
      </c>
    </row>
    <row r="436" spans="1:24" x14ac:dyDescent="0.25">
      <c r="A436">
        <f t="shared" ca="1" si="63"/>
        <v>99.653002491289413</v>
      </c>
      <c r="N436">
        <f t="shared" si="68"/>
        <v>1.7666666666666617</v>
      </c>
      <c r="O436" cm="1">
        <f t="array" aca="1" ref="O436" ca="1">mu*dt_1*R435</f>
        <v>4.0455138755223226E-2</v>
      </c>
      <c r="P436">
        <f t="shared" ca="1" si="64"/>
        <v>0.33949764520111075</v>
      </c>
      <c r="Q436">
        <f t="shared" ca="1" si="69"/>
        <v>0.37995278395633397</v>
      </c>
      <c r="R436">
        <f t="shared" ca="1" si="70"/>
        <v>121.74536904962602</v>
      </c>
      <c r="T436">
        <f t="shared" si="65"/>
        <v>1.7666666666666617</v>
      </c>
      <c r="U436">
        <f t="shared" ca="1" si="66"/>
        <v>3.3987659638747156E-2</v>
      </c>
      <c r="V436">
        <f t="shared" ca="1" si="67"/>
        <v>-2.3439640845907941</v>
      </c>
      <c r="W436">
        <f t="shared" ca="1" si="71"/>
        <v>-2.3099764249520471</v>
      </c>
      <c r="X436">
        <f t="shared" ca="1" si="72"/>
        <v>99.653002491289413</v>
      </c>
    </row>
    <row r="437" spans="1:24" x14ac:dyDescent="0.25">
      <c r="A437">
        <f t="shared" ca="1" si="63"/>
        <v>100.92664311588577</v>
      </c>
      <c r="N437">
        <f t="shared" si="68"/>
        <v>1.7708333333333284</v>
      </c>
      <c r="O437" cm="1">
        <f t="array" aca="1" ref="O437" ca="1">mu*dt_1*R436</f>
        <v>4.058178968320867E-2</v>
      </c>
      <c r="P437">
        <f t="shared" ca="1" si="64"/>
        <v>0.86703019448139007</v>
      </c>
      <c r="Q437">
        <f t="shared" ca="1" si="69"/>
        <v>0.90761198416459876</v>
      </c>
      <c r="R437">
        <f t="shared" ca="1" si="70"/>
        <v>122.65298103379062</v>
      </c>
      <c r="T437">
        <f t="shared" si="65"/>
        <v>1.7708333333333284</v>
      </c>
      <c r="U437">
        <f t="shared" ca="1" si="66"/>
        <v>3.3217667497096467E-2</v>
      </c>
      <c r="V437">
        <f t="shared" ca="1" si="67"/>
        <v>1.2404229570992633</v>
      </c>
      <c r="W437">
        <f t="shared" ca="1" si="71"/>
        <v>1.2736406245963598</v>
      </c>
      <c r="X437">
        <f t="shared" ca="1" si="72"/>
        <v>100.92664311588577</v>
      </c>
    </row>
    <row r="438" spans="1:24" x14ac:dyDescent="0.25">
      <c r="A438">
        <f t="shared" ca="1" si="63"/>
        <v>101.48569758223194</v>
      </c>
      <c r="N438">
        <f t="shared" si="68"/>
        <v>1.774999999999995</v>
      </c>
      <c r="O438" cm="1">
        <f t="array" aca="1" ref="O438" ca="1">mu*dt_1*R437</f>
        <v>4.0884327011263537E-2</v>
      </c>
      <c r="P438">
        <f t="shared" ca="1" si="64"/>
        <v>0.62288145851715748</v>
      </c>
      <c r="Q438">
        <f t="shared" ca="1" si="69"/>
        <v>0.66376578552842103</v>
      </c>
      <c r="R438">
        <f t="shared" ca="1" si="70"/>
        <v>123.31674681931905</v>
      </c>
      <c r="T438">
        <f t="shared" si="65"/>
        <v>1.774999999999995</v>
      </c>
      <c r="U438">
        <f t="shared" ca="1" si="66"/>
        <v>3.3642214371961923E-2</v>
      </c>
      <c r="V438">
        <f t="shared" ca="1" si="67"/>
        <v>0.52541225197420394</v>
      </c>
      <c r="W438">
        <f t="shared" ca="1" si="71"/>
        <v>0.55905446634616585</v>
      </c>
      <c r="X438">
        <f t="shared" ca="1" si="72"/>
        <v>101.48569758223194</v>
      </c>
    </row>
    <row r="439" spans="1:24" x14ac:dyDescent="0.25">
      <c r="A439">
        <f t="shared" ca="1" si="63"/>
        <v>101.0166203789842</v>
      </c>
      <c r="N439">
        <f t="shared" si="68"/>
        <v>1.7791666666666617</v>
      </c>
      <c r="O439" cm="1">
        <f t="array" aca="1" ref="O439" ca="1">mu*dt_1*R438</f>
        <v>4.1105582273106352E-2</v>
      </c>
      <c r="P439">
        <f t="shared" ca="1" si="64"/>
        <v>3.3463859434355214</v>
      </c>
      <c r="Q439">
        <f t="shared" ca="1" si="69"/>
        <v>3.387491525708628</v>
      </c>
      <c r="R439">
        <f t="shared" ca="1" si="70"/>
        <v>126.70423834502768</v>
      </c>
      <c r="T439">
        <f t="shared" si="65"/>
        <v>1.7791666666666617</v>
      </c>
      <c r="U439">
        <f t="shared" ca="1" si="66"/>
        <v>3.3828565860743981E-2</v>
      </c>
      <c r="V439">
        <f t="shared" ca="1" si="67"/>
        <v>-0.50290576910847973</v>
      </c>
      <c r="W439">
        <f t="shared" ca="1" si="71"/>
        <v>-0.46907720324773572</v>
      </c>
      <c r="X439">
        <f t="shared" ca="1" si="72"/>
        <v>101.0166203789842</v>
      </c>
    </row>
    <row r="440" spans="1:24" x14ac:dyDescent="0.25">
      <c r="A440">
        <f t="shared" ca="1" si="63"/>
        <v>102.88172160680469</v>
      </c>
      <c r="N440">
        <f t="shared" si="68"/>
        <v>1.7833333333333283</v>
      </c>
      <c r="O440" cm="1">
        <f t="array" aca="1" ref="O440" ca="1">mu*dt_1*R439</f>
        <v>4.2234746115009221E-2</v>
      </c>
      <c r="P440">
        <f t="shared" ca="1" si="64"/>
        <v>-3.0031385741444074</v>
      </c>
      <c r="Q440">
        <f t="shared" ca="1" si="69"/>
        <v>-2.960903828029398</v>
      </c>
      <c r="R440">
        <f t="shared" ca="1" si="70"/>
        <v>123.74333451699827</v>
      </c>
      <c r="T440">
        <f t="shared" si="65"/>
        <v>1.7833333333333283</v>
      </c>
      <c r="U440">
        <f t="shared" ca="1" si="66"/>
        <v>3.3672206792994736E-2</v>
      </c>
      <c r="V440">
        <f t="shared" ca="1" si="67"/>
        <v>1.8314290210274955</v>
      </c>
      <c r="W440">
        <f t="shared" ca="1" si="71"/>
        <v>1.8651012278204901</v>
      </c>
      <c r="X440">
        <f t="shared" ca="1" si="72"/>
        <v>102.88172160680469</v>
      </c>
    </row>
    <row r="441" spans="1:24" x14ac:dyDescent="0.25">
      <c r="A441">
        <f t="shared" ca="1" si="63"/>
        <v>100.83826142955441</v>
      </c>
      <c r="N441">
        <f t="shared" si="68"/>
        <v>1.787499999999995</v>
      </c>
      <c r="O441" cm="1">
        <f t="array" aca="1" ref="O441" ca="1">mu*dt_1*R440</f>
        <v>4.1247778172332758E-2</v>
      </c>
      <c r="P441">
        <f t="shared" ca="1" si="64"/>
        <v>-1.283097165627564</v>
      </c>
      <c r="Q441">
        <f t="shared" ca="1" si="69"/>
        <v>-1.2418493874552312</v>
      </c>
      <c r="R441">
        <f t="shared" ca="1" si="70"/>
        <v>122.50148512954304</v>
      </c>
      <c r="T441">
        <f t="shared" si="65"/>
        <v>1.787499999999995</v>
      </c>
      <c r="U441">
        <f t="shared" ca="1" si="66"/>
        <v>3.4293907202268228E-2</v>
      </c>
      <c r="V441">
        <f t="shared" ca="1" si="67"/>
        <v>-2.0777540844525451</v>
      </c>
      <c r="W441">
        <f t="shared" ca="1" si="71"/>
        <v>-2.0434601772502767</v>
      </c>
      <c r="X441">
        <f t="shared" ca="1" si="72"/>
        <v>100.83826142955441</v>
      </c>
    </row>
    <row r="442" spans="1:24" x14ac:dyDescent="0.25">
      <c r="A442">
        <f t="shared" ca="1" si="63"/>
        <v>102.2744165780407</v>
      </c>
      <c r="N442">
        <f t="shared" si="68"/>
        <v>1.7916666666666616</v>
      </c>
      <c r="O442" cm="1">
        <f t="array" aca="1" ref="O442" ca="1">mu*dt_1*R441</f>
        <v>4.0833828376514343E-2</v>
      </c>
      <c r="P442">
        <f t="shared" ca="1" si="64"/>
        <v>-0.3569625065581214</v>
      </c>
      <c r="Q442">
        <f t="shared" ca="1" si="69"/>
        <v>-0.31612867818160706</v>
      </c>
      <c r="R442">
        <f t="shared" ca="1" si="70"/>
        <v>122.18535645136143</v>
      </c>
      <c r="T442">
        <f t="shared" si="65"/>
        <v>1.7916666666666616</v>
      </c>
      <c r="U442">
        <f t="shared" ca="1" si="66"/>
        <v>3.3612753809851473E-2</v>
      </c>
      <c r="V442">
        <f t="shared" ca="1" si="67"/>
        <v>1.4025423946764464</v>
      </c>
      <c r="W442">
        <f t="shared" ca="1" si="71"/>
        <v>1.4361551484862978</v>
      </c>
      <c r="X442">
        <f t="shared" ca="1" si="72"/>
        <v>102.2744165780407</v>
      </c>
    </row>
    <row r="443" spans="1:24" x14ac:dyDescent="0.25">
      <c r="A443">
        <f t="shared" ca="1" si="63"/>
        <v>102.9654578207784</v>
      </c>
      <c r="N443">
        <f t="shared" si="68"/>
        <v>1.7958333333333283</v>
      </c>
      <c r="O443" cm="1">
        <f t="array" aca="1" ref="O443" ca="1">mu*dt_1*R442</f>
        <v>4.0728452150453807E-2</v>
      </c>
      <c r="P443">
        <f t="shared" ca="1" si="64"/>
        <v>-2.3675895492161776</v>
      </c>
      <c r="Q443">
        <f t="shared" ca="1" si="69"/>
        <v>-2.326861097065724</v>
      </c>
      <c r="R443">
        <f t="shared" ca="1" si="70"/>
        <v>119.8584953542957</v>
      </c>
      <c r="T443">
        <f t="shared" si="65"/>
        <v>1.7958333333333283</v>
      </c>
      <c r="U443">
        <f t="shared" ca="1" si="66"/>
        <v>3.4091472192680237E-2</v>
      </c>
      <c r="V443">
        <f t="shared" ca="1" si="67"/>
        <v>0.65694977054501191</v>
      </c>
      <c r="W443">
        <f t="shared" ca="1" si="71"/>
        <v>0.69104124273769219</v>
      </c>
      <c r="X443">
        <f t="shared" ca="1" si="72"/>
        <v>102.9654578207784</v>
      </c>
    </row>
    <row r="444" spans="1:24" x14ac:dyDescent="0.25">
      <c r="A444">
        <f t="shared" ca="1" si="63"/>
        <v>105.51563908264293</v>
      </c>
      <c r="N444">
        <f t="shared" si="68"/>
        <v>1.7999999999999949</v>
      </c>
      <c r="O444" cm="1">
        <f t="array" aca="1" ref="O444" ca="1">mu*dt_1*R443</f>
        <v>3.9952831784765233E-2</v>
      </c>
      <c r="P444">
        <f t="shared" ca="1" si="64"/>
        <v>2.475390321875385</v>
      </c>
      <c r="Q444">
        <f t="shared" ca="1" si="69"/>
        <v>2.51534315366015</v>
      </c>
      <c r="R444">
        <f t="shared" ca="1" si="70"/>
        <v>122.37383850795585</v>
      </c>
      <c r="T444">
        <f t="shared" si="65"/>
        <v>1.7999999999999949</v>
      </c>
      <c r="U444">
        <f t="shared" ca="1" si="66"/>
        <v>3.4321819273592798E-2</v>
      </c>
      <c r="V444">
        <f t="shared" ca="1" si="67"/>
        <v>2.5158594425909429</v>
      </c>
      <c r="W444">
        <f t="shared" ca="1" si="71"/>
        <v>2.5501812618645356</v>
      </c>
      <c r="X444">
        <f t="shared" ca="1" si="72"/>
        <v>105.51563908264293</v>
      </c>
    </row>
    <row r="445" spans="1:24" x14ac:dyDescent="0.25">
      <c r="A445">
        <f t="shared" ca="1" si="63"/>
        <v>107.34865125502738</v>
      </c>
      <c r="N445">
        <f t="shared" si="68"/>
        <v>1.8041666666666616</v>
      </c>
      <c r="O445" cm="1">
        <f t="array" aca="1" ref="O445" ca="1">mu*dt_1*R444</f>
        <v>4.0791279502651948E-2</v>
      </c>
      <c r="P445">
        <f t="shared" ca="1" si="64"/>
        <v>-2.2125019401443007</v>
      </c>
      <c r="Q445">
        <f t="shared" ca="1" si="69"/>
        <v>-2.1717106606416485</v>
      </c>
      <c r="R445">
        <f t="shared" ca="1" si="70"/>
        <v>120.2021278473142</v>
      </c>
      <c r="T445">
        <f t="shared" si="65"/>
        <v>1.8041666666666616</v>
      </c>
      <c r="U445">
        <f t="shared" ca="1" si="66"/>
        <v>3.5171879694214314E-2</v>
      </c>
      <c r="V445">
        <f t="shared" ca="1" si="67"/>
        <v>1.7978402926902302</v>
      </c>
      <c r="W445">
        <f t="shared" ca="1" si="71"/>
        <v>1.8330121723844446</v>
      </c>
      <c r="X445">
        <f t="shared" ca="1" si="72"/>
        <v>107.34865125502738</v>
      </c>
    </row>
    <row r="446" spans="1:24" x14ac:dyDescent="0.25">
      <c r="A446">
        <f t="shared" ca="1" si="63"/>
        <v>107.52551777310256</v>
      </c>
      <c r="N446">
        <f t="shared" si="68"/>
        <v>1.8083333333333282</v>
      </c>
      <c r="O446" cm="1">
        <f t="array" aca="1" ref="O446" ca="1">mu*dt_1*R445</f>
        <v>4.0067375949104735E-2</v>
      </c>
      <c r="P446">
        <f t="shared" ca="1" si="64"/>
        <v>1.0984958537133021</v>
      </c>
      <c r="Q446">
        <f t="shared" ca="1" si="69"/>
        <v>1.1385632296624069</v>
      </c>
      <c r="R446">
        <f t="shared" ca="1" si="70"/>
        <v>121.34069107697661</v>
      </c>
      <c r="T446">
        <f t="shared" si="65"/>
        <v>1.8083333333333282</v>
      </c>
      <c r="U446">
        <f t="shared" ca="1" si="66"/>
        <v>3.5782883751675792E-2</v>
      </c>
      <c r="V446">
        <f t="shared" ca="1" si="67"/>
        <v>0.14108363432351653</v>
      </c>
      <c r="W446">
        <f t="shared" ca="1" si="71"/>
        <v>0.17686651807519232</v>
      </c>
      <c r="X446">
        <f t="shared" ca="1" si="72"/>
        <v>107.52551777310256</v>
      </c>
    </row>
    <row r="447" spans="1:24" x14ac:dyDescent="0.25">
      <c r="A447">
        <f t="shared" ca="1" si="63"/>
        <v>107.02471031357898</v>
      </c>
      <c r="N447">
        <f t="shared" si="68"/>
        <v>1.8124999999999949</v>
      </c>
      <c r="O447" cm="1">
        <f t="array" aca="1" ref="O447" ca="1">mu*dt_1*R446</f>
        <v>4.0446897025658866E-2</v>
      </c>
      <c r="P447">
        <f t="shared" ca="1" si="64"/>
        <v>-0.75967327039342836</v>
      </c>
      <c r="Q447">
        <f t="shared" ca="1" si="69"/>
        <v>-0.71922637336776951</v>
      </c>
      <c r="R447">
        <f t="shared" ca="1" si="70"/>
        <v>120.62146470360884</v>
      </c>
      <c r="T447">
        <f t="shared" si="65"/>
        <v>1.8124999999999949</v>
      </c>
      <c r="U447">
        <f t="shared" ca="1" si="66"/>
        <v>3.5841839257700861E-2</v>
      </c>
      <c r="V447">
        <f t="shared" ca="1" si="67"/>
        <v>-0.53664929878129208</v>
      </c>
      <c r="W447">
        <f t="shared" ca="1" si="71"/>
        <v>-0.50080745952359118</v>
      </c>
      <c r="X447">
        <f t="shared" ca="1" si="72"/>
        <v>107.02471031357898</v>
      </c>
    </row>
    <row r="448" spans="1:24" x14ac:dyDescent="0.25">
      <c r="A448">
        <f t="shared" ca="1" si="63"/>
        <v>107.59746904053246</v>
      </c>
      <c r="N448">
        <f t="shared" si="68"/>
        <v>1.8166666666666615</v>
      </c>
      <c r="O448" cm="1">
        <f t="array" aca="1" ref="O448" ca="1">mu*dt_1*R447</f>
        <v>4.0207154901202947E-2</v>
      </c>
      <c r="P448">
        <f t="shared" ca="1" si="64"/>
        <v>-0.20536763775197833</v>
      </c>
      <c r="Q448">
        <f t="shared" ca="1" si="69"/>
        <v>-0.16516048285077539</v>
      </c>
      <c r="R448">
        <f t="shared" ca="1" si="70"/>
        <v>120.45630422075806</v>
      </c>
      <c r="T448">
        <f t="shared" si="65"/>
        <v>1.8166666666666615</v>
      </c>
      <c r="U448">
        <f t="shared" ca="1" si="66"/>
        <v>3.5674903437859659E-2</v>
      </c>
      <c r="V448">
        <f t="shared" ca="1" si="67"/>
        <v>0.53708382351561668</v>
      </c>
      <c r="W448">
        <f t="shared" ca="1" si="71"/>
        <v>0.57275872695347629</v>
      </c>
      <c r="X448">
        <f t="shared" ca="1" si="72"/>
        <v>107.59746904053246</v>
      </c>
    </row>
    <row r="449" spans="1:24" x14ac:dyDescent="0.25">
      <c r="A449">
        <f t="shared" ca="1" si="63"/>
        <v>108.01475733735987</v>
      </c>
      <c r="N449">
        <f t="shared" si="68"/>
        <v>1.8208333333333282</v>
      </c>
      <c r="O449" cm="1">
        <f t="array" aca="1" ref="O449" ca="1">mu*dt_1*R448</f>
        <v>4.0152101406919348E-2</v>
      </c>
      <c r="P449">
        <f t="shared" ca="1" si="64"/>
        <v>0.16574015734914449</v>
      </c>
      <c r="Q449">
        <f t="shared" ca="1" si="69"/>
        <v>0.20589225875606385</v>
      </c>
      <c r="R449">
        <f t="shared" ca="1" si="70"/>
        <v>120.66219647951412</v>
      </c>
      <c r="T449">
        <f t="shared" si="65"/>
        <v>1.8208333333333282</v>
      </c>
      <c r="U449">
        <f t="shared" ca="1" si="66"/>
        <v>3.5865823013510822E-2</v>
      </c>
      <c r="V449">
        <f t="shared" ca="1" si="67"/>
        <v>0.38142247381389843</v>
      </c>
      <c r="W449">
        <f t="shared" ca="1" si="71"/>
        <v>0.41728829682740926</v>
      </c>
      <c r="X449">
        <f t="shared" ca="1" si="72"/>
        <v>108.01475733735987</v>
      </c>
    </row>
    <row r="450" spans="1:24" x14ac:dyDescent="0.25">
      <c r="A450">
        <f t="shared" ca="1" si="63"/>
        <v>105.82259766671143</v>
      </c>
      <c r="N450">
        <f t="shared" si="68"/>
        <v>1.8249999999999948</v>
      </c>
      <c r="O450" cm="1">
        <f t="array" aca="1" ref="O450" ca="1">mu*dt_1*R449</f>
        <v>4.0220732159838041E-2</v>
      </c>
      <c r="P450">
        <f t="shared" ca="1" si="64"/>
        <v>1.2900717464389704</v>
      </c>
      <c r="Q450">
        <f t="shared" ca="1" si="69"/>
        <v>1.3302924785988084</v>
      </c>
      <c r="R450">
        <f t="shared" ca="1" si="70"/>
        <v>121.99248895811293</v>
      </c>
      <c r="T450">
        <f t="shared" si="65"/>
        <v>1.8249999999999948</v>
      </c>
      <c r="U450">
        <f t="shared" ca="1" si="66"/>
        <v>3.6004919112453293E-2</v>
      </c>
      <c r="V450">
        <f t="shared" ca="1" si="67"/>
        <v>-2.2281645897608953</v>
      </c>
      <c r="W450">
        <f t="shared" ca="1" si="71"/>
        <v>-2.1921596706484419</v>
      </c>
      <c r="X450">
        <f t="shared" ca="1" si="72"/>
        <v>105.82259766671143</v>
      </c>
    </row>
    <row r="451" spans="1:24" x14ac:dyDescent="0.25">
      <c r="A451">
        <f t="shared" ca="1" si="63"/>
        <v>105.12884466055772</v>
      </c>
      <c r="N451">
        <f t="shared" si="68"/>
        <v>1.8291666666666615</v>
      </c>
      <c r="O451" cm="1">
        <f t="array" aca="1" ref="O451" ca="1">mu*dt_1*R450</f>
        <v>4.0664162986037644E-2</v>
      </c>
      <c r="P451">
        <f t="shared" ca="1" si="64"/>
        <v>1.2664127847121871</v>
      </c>
      <c r="Q451">
        <f t="shared" ca="1" si="69"/>
        <v>1.3070769476982247</v>
      </c>
      <c r="R451">
        <f t="shared" ca="1" si="70"/>
        <v>123.29956590581115</v>
      </c>
      <c r="T451">
        <f t="shared" si="65"/>
        <v>1.8291666666666615</v>
      </c>
      <c r="U451">
        <f t="shared" ca="1" si="66"/>
        <v>3.5274199222237144E-2</v>
      </c>
      <c r="V451">
        <f t="shared" ca="1" si="67"/>
        <v>-0.72902720537595167</v>
      </c>
      <c r="W451">
        <f t="shared" ca="1" si="71"/>
        <v>-0.69375300615371449</v>
      </c>
      <c r="X451">
        <f t="shared" ca="1" si="72"/>
        <v>105.12884466055772</v>
      </c>
    </row>
    <row r="452" spans="1:24" x14ac:dyDescent="0.25">
      <c r="A452">
        <f t="shared" ca="1" si="63"/>
        <v>107.44584274394907</v>
      </c>
      <c r="N452">
        <f t="shared" si="68"/>
        <v>1.8333333333333282</v>
      </c>
      <c r="O452" cm="1">
        <f t="array" aca="1" ref="O452" ca="1">mu*dt_1*R451</f>
        <v>4.1099855301937049E-2</v>
      </c>
      <c r="P452">
        <f t="shared" ca="1" si="64"/>
        <v>2.0811847969644188</v>
      </c>
      <c r="Q452">
        <f t="shared" ca="1" si="69"/>
        <v>2.1222846522663561</v>
      </c>
      <c r="R452">
        <f t="shared" ca="1" si="70"/>
        <v>125.42185055807751</v>
      </c>
      <c r="T452">
        <f t="shared" si="65"/>
        <v>1.8333333333333282</v>
      </c>
      <c r="U452">
        <f t="shared" ca="1" si="66"/>
        <v>3.5042948220185909E-2</v>
      </c>
      <c r="V452">
        <f t="shared" ca="1" si="67"/>
        <v>2.2819551351711693</v>
      </c>
      <c r="W452">
        <f t="shared" ca="1" si="71"/>
        <v>2.316998083391355</v>
      </c>
      <c r="X452">
        <f t="shared" ca="1" si="72"/>
        <v>107.44584274394907</v>
      </c>
    </row>
    <row r="453" spans="1:24" x14ac:dyDescent="0.25">
      <c r="A453">
        <f t="shared" ca="1" si="63"/>
        <v>107.54929712254931</v>
      </c>
      <c r="N453">
        <f t="shared" si="68"/>
        <v>1.8374999999999948</v>
      </c>
      <c r="O453" cm="1">
        <f t="array" aca="1" ref="O453" ca="1">mu*dt_1*R452</f>
        <v>4.1807283519359167E-2</v>
      </c>
      <c r="P453">
        <f t="shared" ca="1" si="64"/>
        <v>0.3379076195103598</v>
      </c>
      <c r="Q453">
        <f t="shared" ca="1" si="69"/>
        <v>0.379714903029719</v>
      </c>
      <c r="R453">
        <f t="shared" ca="1" si="70"/>
        <v>125.80156546110723</v>
      </c>
      <c r="T453">
        <f t="shared" si="65"/>
        <v>1.8374999999999948</v>
      </c>
      <c r="U453">
        <f t="shared" ca="1" si="66"/>
        <v>3.5815280914649694E-2</v>
      </c>
      <c r="V453">
        <f t="shared" ca="1" si="67"/>
        <v>6.7639097685586666E-2</v>
      </c>
      <c r="W453">
        <f t="shared" ca="1" si="71"/>
        <v>0.10345437860023636</v>
      </c>
      <c r="X453">
        <f t="shared" ca="1" si="72"/>
        <v>107.54929712254931</v>
      </c>
    </row>
    <row r="454" spans="1:24" x14ac:dyDescent="0.25">
      <c r="A454">
        <f t="shared" ca="1" si="63"/>
        <v>105.49424705470956</v>
      </c>
      <c r="N454">
        <f t="shared" si="68"/>
        <v>1.8416666666666615</v>
      </c>
      <c r="O454" cm="1">
        <f t="array" aca="1" ref="O454" ca="1">mu*dt_1*R453</f>
        <v>4.1933855153702411E-2</v>
      </c>
      <c r="P454">
        <f t="shared" ca="1" si="64"/>
        <v>-0.67101828948287356</v>
      </c>
      <c r="Q454">
        <f t="shared" ca="1" si="69"/>
        <v>-0.62908443432917116</v>
      </c>
      <c r="R454">
        <f t="shared" ca="1" si="70"/>
        <v>125.17248102677806</v>
      </c>
      <c r="T454">
        <f t="shared" si="65"/>
        <v>1.8416666666666615</v>
      </c>
      <c r="U454">
        <f t="shared" ca="1" si="66"/>
        <v>3.5849765707516433E-2</v>
      </c>
      <c r="V454">
        <f t="shared" ca="1" si="67"/>
        <v>-2.0908998335472639</v>
      </c>
      <c r="W454">
        <f t="shared" ca="1" si="71"/>
        <v>-2.0550500678397476</v>
      </c>
      <c r="X454">
        <f t="shared" ca="1" si="72"/>
        <v>105.49424705470956</v>
      </c>
    </row>
    <row r="455" spans="1:24" x14ac:dyDescent="0.25">
      <c r="A455">
        <f t="shared" ca="1" si="63"/>
        <v>107.76307189816977</v>
      </c>
      <c r="N455">
        <f t="shared" si="68"/>
        <v>1.8458333333333281</v>
      </c>
      <c r="O455" cm="1">
        <f t="array" aca="1" ref="O455" ca="1">mu*dt_1*R454</f>
        <v>4.1724160342259349E-2</v>
      </c>
      <c r="P455">
        <f t="shared" ca="1" si="64"/>
        <v>1.5816124046014519</v>
      </c>
      <c r="Q455">
        <f t="shared" ca="1" si="69"/>
        <v>1.6233365649437113</v>
      </c>
      <c r="R455">
        <f t="shared" ca="1" si="70"/>
        <v>126.79581759172177</v>
      </c>
      <c r="T455">
        <f t="shared" si="65"/>
        <v>1.8458333333333281</v>
      </c>
      <c r="U455">
        <f t="shared" ca="1" si="66"/>
        <v>3.5164749018236519E-2</v>
      </c>
      <c r="V455">
        <f t="shared" ca="1" si="67"/>
        <v>2.2336600944419671</v>
      </c>
      <c r="W455">
        <f t="shared" ca="1" si="71"/>
        <v>2.2688248434602034</v>
      </c>
      <c r="X455">
        <f t="shared" ca="1" si="72"/>
        <v>107.76307189816977</v>
      </c>
    </row>
    <row r="456" spans="1:24" x14ac:dyDescent="0.25">
      <c r="A456">
        <f t="shared" ca="1" si="63"/>
        <v>109.27847291157917</v>
      </c>
      <c r="N456">
        <f t="shared" si="68"/>
        <v>1.8499999999999948</v>
      </c>
      <c r="O456" cm="1">
        <f t="array" aca="1" ref="O456" ca="1">mu*dt_1*R455</f>
        <v>4.2265272530573925E-2</v>
      </c>
      <c r="P456">
        <f t="shared" ca="1" si="64"/>
        <v>-0.38029454840978549</v>
      </c>
      <c r="Q456">
        <f t="shared" ca="1" si="69"/>
        <v>-0.33802927587921155</v>
      </c>
      <c r="R456">
        <f t="shared" ca="1" si="70"/>
        <v>126.45778831584256</v>
      </c>
      <c r="T456">
        <f t="shared" si="65"/>
        <v>1.8499999999999948</v>
      </c>
      <c r="U456">
        <f t="shared" ca="1" si="66"/>
        <v>3.5921023966056592E-2</v>
      </c>
      <c r="V456">
        <f t="shared" ca="1" si="67"/>
        <v>1.4794799894433481</v>
      </c>
      <c r="W456">
        <f t="shared" ca="1" si="71"/>
        <v>1.5154010134094047</v>
      </c>
      <c r="X456">
        <f t="shared" ca="1" si="72"/>
        <v>109.27847291157917</v>
      </c>
    </row>
    <row r="457" spans="1:24" x14ac:dyDescent="0.25">
      <c r="A457">
        <f t="shared" ca="1" si="63"/>
        <v>109.92487617768465</v>
      </c>
      <c r="N457">
        <f t="shared" si="68"/>
        <v>1.8541666666666614</v>
      </c>
      <c r="O457" cm="1">
        <f t="array" aca="1" ref="O457" ca="1">mu*dt_1*R456</f>
        <v>4.2152596105280854E-2</v>
      </c>
      <c r="P457">
        <f t="shared" ca="1" si="64"/>
        <v>5.5229281829063732E-2</v>
      </c>
      <c r="Q457">
        <f t="shared" ca="1" si="69"/>
        <v>9.738187793434458E-2</v>
      </c>
      <c r="R457">
        <f t="shared" ca="1" si="70"/>
        <v>126.5551701937769</v>
      </c>
      <c r="T457">
        <f t="shared" si="65"/>
        <v>1.8541666666666614</v>
      </c>
      <c r="U457">
        <f t="shared" ca="1" si="66"/>
        <v>3.6426157637193056E-2</v>
      </c>
      <c r="V457">
        <f t="shared" ca="1" si="67"/>
        <v>0.60997710846828312</v>
      </c>
      <c r="W457">
        <f t="shared" ca="1" si="71"/>
        <v>0.64640326610547616</v>
      </c>
      <c r="X457">
        <f t="shared" ca="1" si="72"/>
        <v>109.92487617768465</v>
      </c>
    </row>
    <row r="458" spans="1:24" x14ac:dyDescent="0.25">
      <c r="A458">
        <f t="shared" ca="1" si="63"/>
        <v>109.29650704471476</v>
      </c>
      <c r="N458">
        <f t="shared" si="68"/>
        <v>1.8583333333333281</v>
      </c>
      <c r="O458" cm="1">
        <f t="array" aca="1" ref="O458" ca="1">mu*dt_1*R457</f>
        <v>4.2185056731258969E-2</v>
      </c>
      <c r="P458">
        <f t="shared" ca="1" si="64"/>
        <v>1.1053183992197186</v>
      </c>
      <c r="Q458">
        <f t="shared" ca="1" si="69"/>
        <v>1.1475034559509776</v>
      </c>
      <c r="R458">
        <f t="shared" ca="1" si="70"/>
        <v>127.70267364972788</v>
      </c>
      <c r="T458">
        <f t="shared" si="65"/>
        <v>1.8583333333333281</v>
      </c>
      <c r="U458">
        <f t="shared" ca="1" si="66"/>
        <v>3.664162539256155E-2</v>
      </c>
      <c r="V458">
        <f t="shared" ca="1" si="67"/>
        <v>-0.66501075836245527</v>
      </c>
      <c r="W458">
        <f t="shared" ca="1" si="71"/>
        <v>-0.62836913296989372</v>
      </c>
      <c r="X458">
        <f t="shared" ca="1" si="72"/>
        <v>109.29650704471476</v>
      </c>
    </row>
    <row r="459" spans="1:24" x14ac:dyDescent="0.25">
      <c r="A459">
        <f t="shared" ca="1" si="63"/>
        <v>106.76870846197751</v>
      </c>
      <c r="N459">
        <f t="shared" si="68"/>
        <v>1.8624999999999947</v>
      </c>
      <c r="O459" cm="1">
        <f t="array" aca="1" ref="O459" ca="1">mu*dt_1*R458</f>
        <v>4.2567557883242624E-2</v>
      </c>
      <c r="P459">
        <f t="shared" ca="1" si="64"/>
        <v>-5.5447596176520761</v>
      </c>
      <c r="Q459">
        <f t="shared" ca="1" si="69"/>
        <v>-5.5021920597688334</v>
      </c>
      <c r="R459">
        <f t="shared" ca="1" si="70"/>
        <v>122.20048158995905</v>
      </c>
      <c r="T459">
        <f t="shared" si="65"/>
        <v>1.8624999999999947</v>
      </c>
      <c r="U459">
        <f t="shared" ca="1" si="66"/>
        <v>3.6432169014904918E-2</v>
      </c>
      <c r="V459">
        <f t="shared" ca="1" si="67"/>
        <v>-2.5642307517521568</v>
      </c>
      <c r="W459">
        <f t="shared" ca="1" si="71"/>
        <v>-2.527798582737252</v>
      </c>
      <c r="X459">
        <f t="shared" ca="1" si="72"/>
        <v>106.76870846197751</v>
      </c>
    </row>
    <row r="460" spans="1:24" x14ac:dyDescent="0.25">
      <c r="A460">
        <f t="shared" ca="1" si="63"/>
        <v>105.39921170850947</v>
      </c>
      <c r="N460">
        <f t="shared" si="68"/>
        <v>1.8666666666666614</v>
      </c>
      <c r="O460" cm="1">
        <f t="array" aca="1" ref="O460" ca="1">mu*dt_1*R459</f>
        <v>4.0733493863319682E-2</v>
      </c>
      <c r="P460">
        <f t="shared" ca="1" si="64"/>
        <v>-0.22065152030900387</v>
      </c>
      <c r="Q460">
        <f t="shared" ca="1" si="69"/>
        <v>-0.17991802644568419</v>
      </c>
      <c r="R460">
        <f t="shared" ca="1" si="70"/>
        <v>122.02056356351336</v>
      </c>
      <c r="T460">
        <f t="shared" si="65"/>
        <v>1.8666666666666614</v>
      </c>
      <c r="U460">
        <f t="shared" ca="1" si="66"/>
        <v>3.5589569487325834E-2</v>
      </c>
      <c r="V460">
        <f t="shared" ca="1" si="67"/>
        <v>-1.4050863229553721</v>
      </c>
      <c r="W460">
        <f t="shared" ca="1" si="71"/>
        <v>-1.3694967534680462</v>
      </c>
      <c r="X460">
        <f t="shared" ca="1" si="72"/>
        <v>105.39921170850947</v>
      </c>
    </row>
    <row r="461" spans="1:24" x14ac:dyDescent="0.25">
      <c r="A461">
        <f t="shared" ref="A461:A510" ca="1" si="73">MIN(R461,X461)</f>
        <v>104.40777653569405</v>
      </c>
      <c r="N461">
        <f t="shared" si="68"/>
        <v>1.870833333333328</v>
      </c>
      <c r="O461" cm="1">
        <f t="array" aca="1" ref="O461" ca="1">mu*dt_1*R460</f>
        <v>4.0673521187837784E-2</v>
      </c>
      <c r="P461">
        <f t="shared" ref="P461:P510" ca="1" si="74">_xlfn.NORM.INV(RAND(),0,1)*SQRT(dt_1)*sigma1*R460</f>
        <v>0.77076071223900233</v>
      </c>
      <c r="Q461">
        <f t="shared" ca="1" si="69"/>
        <v>0.81143423342684007</v>
      </c>
      <c r="R461">
        <f t="shared" ca="1" si="70"/>
        <v>122.8319977969402</v>
      </c>
      <c r="T461">
        <f t="shared" ref="T461:T510" si="75">T460+dt_2</f>
        <v>1.870833333333328</v>
      </c>
      <c r="U461">
        <f t="shared" ref="U461:U510" ca="1" si="76">mu_2*X460*dt_2</f>
        <v>3.5133070569503155E-2</v>
      </c>
      <c r="V461">
        <f t="shared" ref="V461:V510" ca="1" si="77">(rho*P461/sigma1/R460+SQRT(1-rho^2)*_xlfn.NORM.INV(RAND(),0,1)*SQRT(dt_2))*sigma2*X460</f>
        <v>-1.0265682433849144</v>
      </c>
      <c r="W461">
        <f t="shared" ca="1" si="71"/>
        <v>-0.99143517281541116</v>
      </c>
      <c r="X461">
        <f t="shared" ca="1" si="72"/>
        <v>104.40777653569405</v>
      </c>
    </row>
    <row r="462" spans="1:24" x14ac:dyDescent="0.25">
      <c r="A462">
        <f t="shared" ca="1" si="73"/>
        <v>103.96107339173638</v>
      </c>
      <c r="N462">
        <f t="shared" ref="N462:N500" si="78">N461+$C$8</f>
        <v>1.8749999999999947</v>
      </c>
      <c r="O462" cm="1">
        <f t="array" aca="1" ref="O462" ca="1">mu*dt_1*R461</f>
        <v>4.0943999265646736E-2</v>
      </c>
      <c r="P462">
        <f t="shared" ca="1" si="74"/>
        <v>-9.0358974921681698E-2</v>
      </c>
      <c r="Q462">
        <f t="shared" ref="Q462:Q500" ca="1" si="79">O462+P462</f>
        <v>-4.9414975656034962E-2</v>
      </c>
      <c r="R462">
        <f t="shared" ref="R462:R500" ca="1" si="80">R461+Q462</f>
        <v>122.78258282128417</v>
      </c>
      <c r="T462">
        <f t="shared" si="75"/>
        <v>1.8749999999999947</v>
      </c>
      <c r="U462">
        <f t="shared" ca="1" si="76"/>
        <v>3.4802592178564684E-2</v>
      </c>
      <c r="V462">
        <f t="shared" ca="1" si="77"/>
        <v>-0.48150573613624176</v>
      </c>
      <c r="W462">
        <f t="shared" ref="W462:W500" ca="1" si="81">U462+V462</f>
        <v>-0.44670314395767707</v>
      </c>
      <c r="X462">
        <f t="shared" ref="X462:X500" ca="1" si="82">X461+W462</f>
        <v>103.96107339173638</v>
      </c>
    </row>
    <row r="463" spans="1:24" x14ac:dyDescent="0.25">
      <c r="A463">
        <f t="shared" ca="1" si="73"/>
        <v>104.12695528393344</v>
      </c>
      <c r="N463">
        <f t="shared" si="78"/>
        <v>1.8791666666666613</v>
      </c>
      <c r="O463" cm="1">
        <f t="array" aca="1" ref="O463" ca="1">mu*dt_1*R462</f>
        <v>4.092752760709472E-2</v>
      </c>
      <c r="P463">
        <f t="shared" ca="1" si="74"/>
        <v>-0.88664539503805062</v>
      </c>
      <c r="Q463">
        <f t="shared" ca="1" si="79"/>
        <v>-0.84571786743095589</v>
      </c>
      <c r="R463">
        <f t="shared" ca="1" si="80"/>
        <v>121.93686495385322</v>
      </c>
      <c r="T463">
        <f t="shared" si="75"/>
        <v>1.8791666666666613</v>
      </c>
      <c r="U463">
        <f t="shared" ca="1" si="76"/>
        <v>3.4653691130578791E-2</v>
      </c>
      <c r="V463">
        <f t="shared" ca="1" si="77"/>
        <v>0.13122820106649111</v>
      </c>
      <c r="W463">
        <f t="shared" ca="1" si="81"/>
        <v>0.16588189219706989</v>
      </c>
      <c r="X463">
        <f t="shared" ca="1" si="82"/>
        <v>104.12695528393344</v>
      </c>
    </row>
    <row r="464" spans="1:24" x14ac:dyDescent="0.25">
      <c r="A464">
        <f t="shared" ca="1" si="73"/>
        <v>102.30950959941256</v>
      </c>
      <c r="N464">
        <f t="shared" si="78"/>
        <v>1.883333333333328</v>
      </c>
      <c r="O464" cm="1">
        <f t="array" aca="1" ref="O464" ca="1">mu*dt_1*R463</f>
        <v>4.0645621651284401E-2</v>
      </c>
      <c r="P464">
        <f t="shared" ca="1" si="74"/>
        <v>-1.4805771972212396</v>
      </c>
      <c r="Q464">
        <f t="shared" ca="1" si="79"/>
        <v>-1.4399315755699551</v>
      </c>
      <c r="R464">
        <f t="shared" ca="1" si="80"/>
        <v>120.49693337828326</v>
      </c>
      <c r="T464">
        <f t="shared" si="75"/>
        <v>1.883333333333328</v>
      </c>
      <c r="U464">
        <f t="shared" ca="1" si="76"/>
        <v>3.4708985094644484E-2</v>
      </c>
      <c r="V464">
        <f t="shared" ca="1" si="77"/>
        <v>-1.8521546696155182</v>
      </c>
      <c r="W464">
        <f t="shared" ca="1" si="81"/>
        <v>-1.8174456845208737</v>
      </c>
      <c r="X464">
        <f t="shared" ca="1" si="82"/>
        <v>102.30950959941256</v>
      </c>
    </row>
    <row r="465" spans="1:24" x14ac:dyDescent="0.25">
      <c r="A465">
        <f t="shared" ca="1" si="73"/>
        <v>103.17473586820839</v>
      </c>
      <c r="N465">
        <f t="shared" si="78"/>
        <v>1.8874999999999946</v>
      </c>
      <c r="O465" cm="1">
        <f t="array" aca="1" ref="O465" ca="1">mu*dt_1*R464</f>
        <v>4.0165644459427753E-2</v>
      </c>
      <c r="P465">
        <f t="shared" ca="1" si="74"/>
        <v>1.0773869979306603</v>
      </c>
      <c r="Q465">
        <f t="shared" ca="1" si="79"/>
        <v>1.1175526423900881</v>
      </c>
      <c r="R465">
        <f t="shared" ca="1" si="80"/>
        <v>121.61448602067335</v>
      </c>
      <c r="T465">
        <f t="shared" si="75"/>
        <v>1.8874999999999946</v>
      </c>
      <c r="U465">
        <f t="shared" ca="1" si="76"/>
        <v>3.4103169866470856E-2</v>
      </c>
      <c r="V465">
        <f t="shared" ca="1" si="77"/>
        <v>0.83112309892935021</v>
      </c>
      <c r="W465">
        <f t="shared" ca="1" si="81"/>
        <v>0.8652262687958211</v>
      </c>
      <c r="X465">
        <f t="shared" ca="1" si="82"/>
        <v>103.17473586820839</v>
      </c>
    </row>
    <row r="466" spans="1:24" x14ac:dyDescent="0.25">
      <c r="A466">
        <f t="shared" ca="1" si="73"/>
        <v>103.59049209503344</v>
      </c>
      <c r="N466">
        <f t="shared" si="78"/>
        <v>1.8916666666666613</v>
      </c>
      <c r="O466" cm="1">
        <f t="array" aca="1" ref="O466" ca="1">mu*dt_1*R465</f>
        <v>4.0538162006891115E-2</v>
      </c>
      <c r="P466">
        <f t="shared" ca="1" si="74"/>
        <v>-0.9607160697296494</v>
      </c>
      <c r="Q466">
        <f t="shared" ca="1" si="79"/>
        <v>-0.92017790772275831</v>
      </c>
      <c r="R466">
        <f t="shared" ca="1" si="80"/>
        <v>120.69430811295059</v>
      </c>
      <c r="T466">
        <f t="shared" si="75"/>
        <v>1.8916666666666613</v>
      </c>
      <c r="U466">
        <f t="shared" ca="1" si="76"/>
        <v>3.4391578622736126E-2</v>
      </c>
      <c r="V466">
        <f t="shared" ca="1" si="77"/>
        <v>0.38136464820231125</v>
      </c>
      <c r="W466">
        <f t="shared" ca="1" si="81"/>
        <v>0.41575622682504737</v>
      </c>
      <c r="X466">
        <f t="shared" ca="1" si="82"/>
        <v>103.59049209503344</v>
      </c>
    </row>
    <row r="467" spans="1:24" x14ac:dyDescent="0.25">
      <c r="A467">
        <f t="shared" ca="1" si="73"/>
        <v>103.00574163326364</v>
      </c>
      <c r="N467">
        <f t="shared" si="78"/>
        <v>1.8958333333333279</v>
      </c>
      <c r="O467" cm="1">
        <f t="array" aca="1" ref="O467" ca="1">mu*dt_1*R466</f>
        <v>4.0231436037650198E-2</v>
      </c>
      <c r="P467">
        <f t="shared" ca="1" si="74"/>
        <v>-2.6543325933032018</v>
      </c>
      <c r="Q467">
        <f t="shared" ca="1" si="79"/>
        <v>-2.6141011572655515</v>
      </c>
      <c r="R467">
        <f t="shared" ca="1" si="80"/>
        <v>118.08020695568504</v>
      </c>
      <c r="T467">
        <f t="shared" si="75"/>
        <v>1.8958333333333279</v>
      </c>
      <c r="U467">
        <f t="shared" ca="1" si="76"/>
        <v>3.4530164031677815E-2</v>
      </c>
      <c r="V467">
        <f t="shared" ca="1" si="77"/>
        <v>-0.61928062580148147</v>
      </c>
      <c r="W467">
        <f t="shared" ca="1" si="81"/>
        <v>-0.58475046176980361</v>
      </c>
      <c r="X467">
        <f t="shared" ca="1" si="82"/>
        <v>103.00574163326364</v>
      </c>
    </row>
    <row r="468" spans="1:24" x14ac:dyDescent="0.25">
      <c r="A468">
        <f t="shared" ca="1" si="73"/>
        <v>103.82563287403012</v>
      </c>
      <c r="N468">
        <f t="shared" si="78"/>
        <v>1.8999999999999946</v>
      </c>
      <c r="O468" cm="1">
        <f t="array" aca="1" ref="O468" ca="1">mu*dt_1*R467</f>
        <v>3.9360068985228348E-2</v>
      </c>
      <c r="P468">
        <f t="shared" ca="1" si="74"/>
        <v>0.31636599933436554</v>
      </c>
      <c r="Q468">
        <f t="shared" ca="1" si="79"/>
        <v>0.35572606831959391</v>
      </c>
      <c r="R468">
        <f t="shared" ca="1" si="80"/>
        <v>118.43593302400464</v>
      </c>
      <c r="T468">
        <f t="shared" si="75"/>
        <v>1.8999999999999946</v>
      </c>
      <c r="U468">
        <f t="shared" ca="1" si="76"/>
        <v>3.4335247211087876E-2</v>
      </c>
      <c r="V468">
        <f t="shared" ca="1" si="77"/>
        <v>0.78555599355539962</v>
      </c>
      <c r="W468">
        <f t="shared" ca="1" si="81"/>
        <v>0.81989124076648745</v>
      </c>
      <c r="X468">
        <f t="shared" ca="1" si="82"/>
        <v>103.82563287403012</v>
      </c>
    </row>
    <row r="469" spans="1:24" x14ac:dyDescent="0.25">
      <c r="A469">
        <f t="shared" ca="1" si="73"/>
        <v>105.60673754255309</v>
      </c>
      <c r="N469">
        <f t="shared" si="78"/>
        <v>1.9041666666666612</v>
      </c>
      <c r="O469" cm="1">
        <f t="array" aca="1" ref="O469" ca="1">mu*dt_1*R468</f>
        <v>3.9478644341334877E-2</v>
      </c>
      <c r="P469">
        <f t="shared" ca="1" si="74"/>
        <v>0.25360994701373413</v>
      </c>
      <c r="Q469">
        <f t="shared" ca="1" si="79"/>
        <v>0.29308859135506898</v>
      </c>
      <c r="R469">
        <f t="shared" ca="1" si="80"/>
        <v>118.72902161535971</v>
      </c>
      <c r="T469">
        <f t="shared" si="75"/>
        <v>1.9041666666666612</v>
      </c>
      <c r="U469">
        <f t="shared" ca="1" si="76"/>
        <v>3.4608544291343378E-2</v>
      </c>
      <c r="V469">
        <f t="shared" ca="1" si="77"/>
        <v>1.7464961242316341</v>
      </c>
      <c r="W469">
        <f t="shared" ca="1" si="81"/>
        <v>1.7811046685229774</v>
      </c>
      <c r="X469">
        <f t="shared" ca="1" si="82"/>
        <v>105.60673754255309</v>
      </c>
    </row>
    <row r="470" spans="1:24" x14ac:dyDescent="0.25">
      <c r="A470">
        <f t="shared" ca="1" si="73"/>
        <v>103.25503059563617</v>
      </c>
      <c r="N470">
        <f t="shared" si="78"/>
        <v>1.9083333333333279</v>
      </c>
      <c r="O470" cm="1">
        <f t="array" aca="1" ref="O470" ca="1">mu*dt_1*R469</f>
        <v>3.9576340538453235E-2</v>
      </c>
      <c r="P470">
        <f t="shared" ca="1" si="74"/>
        <v>-0.54051474991793969</v>
      </c>
      <c r="Q470">
        <f t="shared" ca="1" si="79"/>
        <v>-0.50093840937948642</v>
      </c>
      <c r="R470">
        <f t="shared" ca="1" si="80"/>
        <v>118.22808320598023</v>
      </c>
      <c r="T470">
        <f t="shared" si="75"/>
        <v>1.9083333333333279</v>
      </c>
      <c r="U470">
        <f t="shared" ca="1" si="76"/>
        <v>3.5202245847517702E-2</v>
      </c>
      <c r="V470">
        <f t="shared" ca="1" si="77"/>
        <v>-2.3869091927644397</v>
      </c>
      <c r="W470">
        <f t="shared" ca="1" si="81"/>
        <v>-2.3517069469169218</v>
      </c>
      <c r="X470">
        <f t="shared" ca="1" si="82"/>
        <v>103.25503059563617</v>
      </c>
    </row>
    <row r="471" spans="1:24" x14ac:dyDescent="0.25">
      <c r="A471">
        <f t="shared" ca="1" si="73"/>
        <v>105.0613475342598</v>
      </c>
      <c r="N471">
        <f t="shared" si="78"/>
        <v>1.9124999999999945</v>
      </c>
      <c r="O471" cm="1">
        <f t="array" aca="1" ref="O471" ca="1">mu*dt_1*R470</f>
        <v>3.9409361068660075E-2</v>
      </c>
      <c r="P471">
        <f t="shared" ca="1" si="74"/>
        <v>-0.90345064870480041</v>
      </c>
      <c r="Q471">
        <f t="shared" ca="1" si="79"/>
        <v>-0.8640412876361403</v>
      </c>
      <c r="R471">
        <f t="shared" ca="1" si="80"/>
        <v>117.36404191834409</v>
      </c>
      <c r="T471">
        <f t="shared" si="75"/>
        <v>1.9124999999999945</v>
      </c>
      <c r="U471">
        <f t="shared" ca="1" si="76"/>
        <v>3.4418343531878719E-2</v>
      </c>
      <c r="V471">
        <f t="shared" ca="1" si="77"/>
        <v>1.7718985950917472</v>
      </c>
      <c r="W471">
        <f t="shared" ca="1" si="81"/>
        <v>1.806316938623626</v>
      </c>
      <c r="X471">
        <f t="shared" ca="1" si="82"/>
        <v>105.0613475342598</v>
      </c>
    </row>
    <row r="472" spans="1:24" x14ac:dyDescent="0.25">
      <c r="A472">
        <f t="shared" ca="1" si="73"/>
        <v>104.23229476239838</v>
      </c>
      <c r="N472">
        <f t="shared" si="78"/>
        <v>1.9166666666666612</v>
      </c>
      <c r="O472" cm="1">
        <f t="array" aca="1" ref="O472" ca="1">mu*dt_1*R471</f>
        <v>3.9121347306114697E-2</v>
      </c>
      <c r="P472">
        <f t="shared" ca="1" si="74"/>
        <v>0.81410104724094778</v>
      </c>
      <c r="Q472">
        <f t="shared" ca="1" si="79"/>
        <v>0.8532223945470625</v>
      </c>
      <c r="R472">
        <f t="shared" ca="1" si="80"/>
        <v>118.21726431289115</v>
      </c>
      <c r="T472">
        <f t="shared" si="75"/>
        <v>1.9166666666666612</v>
      </c>
      <c r="U472">
        <f t="shared" ca="1" si="76"/>
        <v>3.5020449178086596E-2</v>
      </c>
      <c r="V472">
        <f t="shared" ca="1" si="77"/>
        <v>-0.86407322103949635</v>
      </c>
      <c r="W472">
        <f t="shared" ca="1" si="81"/>
        <v>-0.8290527718614098</v>
      </c>
      <c r="X472">
        <f t="shared" ca="1" si="82"/>
        <v>104.23229476239838</v>
      </c>
    </row>
    <row r="473" spans="1:24" x14ac:dyDescent="0.25">
      <c r="A473">
        <f t="shared" ca="1" si="73"/>
        <v>103.00198943939797</v>
      </c>
      <c r="N473">
        <f t="shared" si="78"/>
        <v>1.9208333333333278</v>
      </c>
      <c r="O473" cm="1">
        <f t="array" aca="1" ref="O473" ca="1">mu*dt_1*R472</f>
        <v>3.9405754770963711E-2</v>
      </c>
      <c r="P473">
        <f t="shared" ca="1" si="74"/>
        <v>1.4809843910393019</v>
      </c>
      <c r="Q473">
        <f t="shared" ca="1" si="79"/>
        <v>1.5203901458102655</v>
      </c>
      <c r="R473">
        <f t="shared" ca="1" si="80"/>
        <v>119.73765445870141</v>
      </c>
      <c r="T473">
        <f t="shared" si="75"/>
        <v>1.9208333333333278</v>
      </c>
      <c r="U473">
        <f t="shared" ca="1" si="76"/>
        <v>3.4744098254132799E-2</v>
      </c>
      <c r="V473">
        <f t="shared" ca="1" si="77"/>
        <v>-1.2650494212545362</v>
      </c>
      <c r="W473">
        <f t="shared" ca="1" si="81"/>
        <v>-1.2303053230004035</v>
      </c>
      <c r="X473">
        <f t="shared" ca="1" si="82"/>
        <v>103.00198943939797</v>
      </c>
    </row>
    <row r="474" spans="1:24" x14ac:dyDescent="0.25">
      <c r="A474">
        <f t="shared" ca="1" si="73"/>
        <v>102.54786606596821</v>
      </c>
      <c r="N474">
        <f t="shared" si="78"/>
        <v>1.9249999999999945</v>
      </c>
      <c r="O474" cm="1">
        <f t="array" aca="1" ref="O474" ca="1">mu*dt_1*R473</f>
        <v>3.9912551486233801E-2</v>
      </c>
      <c r="P474">
        <f t="shared" ca="1" si="74"/>
        <v>-0.45067788984570351</v>
      </c>
      <c r="Q474">
        <f t="shared" ca="1" si="79"/>
        <v>-0.41076533835946971</v>
      </c>
      <c r="R474">
        <f t="shared" ca="1" si="80"/>
        <v>119.32688912034195</v>
      </c>
      <c r="T474">
        <f t="shared" si="75"/>
        <v>1.9249999999999945</v>
      </c>
      <c r="U474">
        <f t="shared" ca="1" si="76"/>
        <v>3.4333996479799324E-2</v>
      </c>
      <c r="V474">
        <f t="shared" ca="1" si="77"/>
        <v>-0.48845736990956673</v>
      </c>
      <c r="W474">
        <f t="shared" ca="1" si="81"/>
        <v>-0.45412337342976739</v>
      </c>
      <c r="X474">
        <f t="shared" ca="1" si="82"/>
        <v>102.54786606596821</v>
      </c>
    </row>
    <row r="475" spans="1:24" x14ac:dyDescent="0.25">
      <c r="A475">
        <f t="shared" ca="1" si="73"/>
        <v>103.87146720456735</v>
      </c>
      <c r="N475">
        <f t="shared" si="78"/>
        <v>1.9291666666666611</v>
      </c>
      <c r="O475" cm="1">
        <f t="array" aca="1" ref="O475" ca="1">mu*dt_1*R474</f>
        <v>3.9775629706780648E-2</v>
      </c>
      <c r="P475">
        <f t="shared" ca="1" si="74"/>
        <v>-1.30378382571513</v>
      </c>
      <c r="Q475">
        <f t="shared" ca="1" si="79"/>
        <v>-1.2640081960083493</v>
      </c>
      <c r="R475">
        <f t="shared" ca="1" si="80"/>
        <v>118.0628809243336</v>
      </c>
      <c r="T475">
        <f t="shared" si="75"/>
        <v>1.9291666666666611</v>
      </c>
      <c r="U475">
        <f t="shared" ca="1" si="76"/>
        <v>3.4182622021989406E-2</v>
      </c>
      <c r="V475">
        <f t="shared" ca="1" si="77"/>
        <v>1.2894185165771594</v>
      </c>
      <c r="W475">
        <f t="shared" ca="1" si="81"/>
        <v>1.3236011385991489</v>
      </c>
      <c r="X475">
        <f t="shared" ca="1" si="82"/>
        <v>103.87146720456735</v>
      </c>
    </row>
    <row r="476" spans="1:24" x14ac:dyDescent="0.25">
      <c r="A476">
        <f t="shared" ca="1" si="73"/>
        <v>104.22863514230598</v>
      </c>
      <c r="N476">
        <f t="shared" si="78"/>
        <v>1.9333333333333278</v>
      </c>
      <c r="O476" cm="1">
        <f t="array" aca="1" ref="O476" ca="1">mu*dt_1*R475</f>
        <v>3.9354293641444528E-2</v>
      </c>
      <c r="P476">
        <f t="shared" ca="1" si="74"/>
        <v>-9.6245382401785998E-2</v>
      </c>
      <c r="Q476">
        <f t="shared" ca="1" si="79"/>
        <v>-5.689108876034147E-2</v>
      </c>
      <c r="R476">
        <f t="shared" ca="1" si="80"/>
        <v>118.00598983557326</v>
      </c>
      <c r="T476">
        <f t="shared" si="75"/>
        <v>1.9333333333333278</v>
      </c>
      <c r="U476">
        <f t="shared" ca="1" si="76"/>
        <v>3.4623822401522446E-2</v>
      </c>
      <c r="V476">
        <f t="shared" ca="1" si="77"/>
        <v>0.32254411533709609</v>
      </c>
      <c r="W476">
        <f t="shared" ca="1" si="81"/>
        <v>0.35716793773861855</v>
      </c>
      <c r="X476">
        <f t="shared" ca="1" si="82"/>
        <v>104.22863514230598</v>
      </c>
    </row>
    <row r="477" spans="1:24" x14ac:dyDescent="0.25">
      <c r="A477">
        <f t="shared" ca="1" si="73"/>
        <v>106.21313871329767</v>
      </c>
      <c r="N477">
        <f t="shared" si="78"/>
        <v>1.9374999999999944</v>
      </c>
      <c r="O477" cm="1">
        <f t="array" aca="1" ref="O477" ca="1">mu*dt_1*R476</f>
        <v>3.9335329945191087E-2</v>
      </c>
      <c r="P477">
        <f t="shared" ca="1" si="74"/>
        <v>-2.3673478187208736E-2</v>
      </c>
      <c r="Q477">
        <f t="shared" ca="1" si="79"/>
        <v>1.5661851757982351E-2</v>
      </c>
      <c r="R477">
        <f t="shared" ca="1" si="80"/>
        <v>118.02165168733124</v>
      </c>
      <c r="T477">
        <f t="shared" si="75"/>
        <v>1.9374999999999944</v>
      </c>
      <c r="U477">
        <f t="shared" ca="1" si="76"/>
        <v>3.4742878380768658E-2</v>
      </c>
      <c r="V477">
        <f t="shared" ca="1" si="77"/>
        <v>1.9497606926109186</v>
      </c>
      <c r="W477">
        <f t="shared" ca="1" si="81"/>
        <v>1.9845035709916872</v>
      </c>
      <c r="X477">
        <f t="shared" ca="1" si="82"/>
        <v>106.21313871329767</v>
      </c>
    </row>
    <row r="478" spans="1:24" x14ac:dyDescent="0.25">
      <c r="A478">
        <f t="shared" ca="1" si="73"/>
        <v>106.63993286601814</v>
      </c>
      <c r="N478">
        <f t="shared" si="78"/>
        <v>1.9416666666666611</v>
      </c>
      <c r="O478" cm="1">
        <f t="array" aca="1" ref="O478" ca="1">mu*dt_1*R477</f>
        <v>3.9340550562443746E-2</v>
      </c>
      <c r="P478">
        <f t="shared" ca="1" si="74"/>
        <v>0.50962818478084071</v>
      </c>
      <c r="Q478">
        <f t="shared" ca="1" si="79"/>
        <v>0.5489687353432845</v>
      </c>
      <c r="R478">
        <f t="shared" ca="1" si="80"/>
        <v>118.57062042267452</v>
      </c>
      <c r="T478">
        <f t="shared" si="75"/>
        <v>1.9416666666666611</v>
      </c>
      <c r="U478">
        <f t="shared" ca="1" si="76"/>
        <v>3.5404379571099223E-2</v>
      </c>
      <c r="V478">
        <f t="shared" ca="1" si="77"/>
        <v>0.3913897731493734</v>
      </c>
      <c r="W478">
        <f t="shared" ca="1" si="81"/>
        <v>0.42679415272047261</v>
      </c>
      <c r="X478">
        <f t="shared" ca="1" si="82"/>
        <v>106.63993286601814</v>
      </c>
    </row>
    <row r="479" spans="1:24" x14ac:dyDescent="0.25">
      <c r="A479">
        <f t="shared" ca="1" si="73"/>
        <v>104.86722881108197</v>
      </c>
      <c r="N479">
        <f t="shared" si="78"/>
        <v>1.9458333333333278</v>
      </c>
      <c r="O479" cm="1">
        <f t="array" aca="1" ref="O479" ca="1">mu*dt_1*R478</f>
        <v>3.952354014089151E-2</v>
      </c>
      <c r="P479">
        <f t="shared" ca="1" si="74"/>
        <v>-1.9362888546220896</v>
      </c>
      <c r="Q479">
        <f t="shared" ca="1" si="79"/>
        <v>-1.896765314481198</v>
      </c>
      <c r="R479">
        <f t="shared" ca="1" si="80"/>
        <v>116.67385510819332</v>
      </c>
      <c r="T479">
        <f t="shared" si="75"/>
        <v>1.9458333333333278</v>
      </c>
      <c r="U479">
        <f t="shared" ca="1" si="76"/>
        <v>3.5546644288672713E-2</v>
      </c>
      <c r="V479">
        <f t="shared" ca="1" si="77"/>
        <v>-1.8082506992248375</v>
      </c>
      <c r="W479">
        <f t="shared" ca="1" si="81"/>
        <v>-1.7727040549361648</v>
      </c>
      <c r="X479">
        <f t="shared" ca="1" si="82"/>
        <v>104.86722881108197</v>
      </c>
    </row>
    <row r="480" spans="1:24" x14ac:dyDescent="0.25">
      <c r="A480">
        <f t="shared" ca="1" si="73"/>
        <v>105.37233873990087</v>
      </c>
      <c r="N480">
        <f t="shared" si="78"/>
        <v>1.9499999999999944</v>
      </c>
      <c r="O480" cm="1">
        <f t="array" aca="1" ref="O480" ca="1">mu*dt_1*R479</f>
        <v>3.8891285036064441E-2</v>
      </c>
      <c r="P480">
        <f t="shared" ca="1" si="74"/>
        <v>1.9159861524687081</v>
      </c>
      <c r="Q480">
        <f t="shared" ca="1" si="79"/>
        <v>1.9548774375047726</v>
      </c>
      <c r="R480">
        <f t="shared" ca="1" si="80"/>
        <v>118.6287325456981</v>
      </c>
      <c r="T480">
        <f t="shared" si="75"/>
        <v>1.9499999999999944</v>
      </c>
      <c r="U480">
        <f t="shared" ca="1" si="76"/>
        <v>3.4955742937027322E-2</v>
      </c>
      <c r="V480">
        <f t="shared" ca="1" si="77"/>
        <v>0.47015418588187019</v>
      </c>
      <c r="W480">
        <f t="shared" ca="1" si="81"/>
        <v>0.50510992881889749</v>
      </c>
      <c r="X480">
        <f t="shared" ca="1" si="82"/>
        <v>105.37233873990087</v>
      </c>
    </row>
    <row r="481" spans="1:24" x14ac:dyDescent="0.25">
      <c r="A481">
        <f t="shared" ca="1" si="73"/>
        <v>106.52908824991218</v>
      </c>
      <c r="N481">
        <f t="shared" si="78"/>
        <v>1.9541666666666611</v>
      </c>
      <c r="O481" cm="1">
        <f t="array" aca="1" ref="O481" ca="1">mu*dt_1*R480</f>
        <v>3.9542910848566031E-2</v>
      </c>
      <c r="P481">
        <f t="shared" ca="1" si="74"/>
        <v>-0.48947810296745475</v>
      </c>
      <c r="Q481">
        <f t="shared" ca="1" si="79"/>
        <v>-0.44993519211888872</v>
      </c>
      <c r="R481">
        <f t="shared" ca="1" si="80"/>
        <v>118.17879735357921</v>
      </c>
      <c r="T481">
        <f t="shared" si="75"/>
        <v>1.9541666666666611</v>
      </c>
      <c r="U481">
        <f t="shared" ca="1" si="76"/>
        <v>3.5124112913300289E-2</v>
      </c>
      <c r="V481">
        <f t="shared" ca="1" si="77"/>
        <v>1.1216253970980068</v>
      </c>
      <c r="W481">
        <f t="shared" ca="1" si="81"/>
        <v>1.156749510011307</v>
      </c>
      <c r="X481">
        <f t="shared" ca="1" si="82"/>
        <v>106.52908824991218</v>
      </c>
    </row>
    <row r="482" spans="1:24" x14ac:dyDescent="0.25">
      <c r="A482">
        <f t="shared" ca="1" si="73"/>
        <v>106.88134223926264</v>
      </c>
      <c r="N482">
        <f t="shared" si="78"/>
        <v>1.9583333333333277</v>
      </c>
      <c r="O482" cm="1">
        <f t="array" aca="1" ref="O482" ca="1">mu*dt_1*R481</f>
        <v>3.9392932451193068E-2</v>
      </c>
      <c r="P482">
        <f t="shared" ca="1" si="74"/>
        <v>-0.41225798034598715</v>
      </c>
      <c r="Q482">
        <f t="shared" ca="1" si="79"/>
        <v>-0.37286504789479408</v>
      </c>
      <c r="R482">
        <f t="shared" ca="1" si="80"/>
        <v>117.80593230568442</v>
      </c>
      <c r="T482">
        <f t="shared" si="75"/>
        <v>1.9583333333333277</v>
      </c>
      <c r="U482">
        <f t="shared" ca="1" si="76"/>
        <v>3.5509696083304058E-2</v>
      </c>
      <c r="V482">
        <f t="shared" ca="1" si="77"/>
        <v>0.31674429326715103</v>
      </c>
      <c r="W482">
        <f t="shared" ca="1" si="81"/>
        <v>0.3522539893504551</v>
      </c>
      <c r="X482">
        <f t="shared" ca="1" si="82"/>
        <v>106.88134223926264</v>
      </c>
    </row>
    <row r="483" spans="1:24" x14ac:dyDescent="0.25">
      <c r="A483">
        <f t="shared" ca="1" si="73"/>
        <v>104.6660336342121</v>
      </c>
      <c r="N483">
        <f t="shared" si="78"/>
        <v>1.9624999999999944</v>
      </c>
      <c r="O483" cm="1">
        <f t="array" aca="1" ref="O483" ca="1">mu*dt_1*R482</f>
        <v>3.9268644101894803E-2</v>
      </c>
      <c r="P483">
        <f t="shared" ca="1" si="74"/>
        <v>0.24043590421267921</v>
      </c>
      <c r="Q483">
        <f t="shared" ca="1" si="79"/>
        <v>0.27970454831457403</v>
      </c>
      <c r="R483">
        <f t="shared" ca="1" si="80"/>
        <v>118.08563685399899</v>
      </c>
      <c r="T483">
        <f t="shared" si="75"/>
        <v>1.9624999999999944</v>
      </c>
      <c r="U483">
        <f t="shared" ca="1" si="76"/>
        <v>3.5627114079754212E-2</v>
      </c>
      <c r="V483">
        <f t="shared" ca="1" si="77"/>
        <v>-2.2509357191302977</v>
      </c>
      <c r="W483">
        <f t="shared" ca="1" si="81"/>
        <v>-2.2153086050505433</v>
      </c>
      <c r="X483">
        <f t="shared" ca="1" si="82"/>
        <v>104.6660336342121</v>
      </c>
    </row>
    <row r="484" spans="1:24" x14ac:dyDescent="0.25">
      <c r="A484">
        <f t="shared" ca="1" si="73"/>
        <v>104.6968545550663</v>
      </c>
      <c r="N484">
        <f t="shared" si="78"/>
        <v>1.966666666666661</v>
      </c>
      <c r="O484" cm="1">
        <f t="array" aca="1" ref="O484" ca="1">mu*dt_1*R483</f>
        <v>3.9361878951332994E-2</v>
      </c>
      <c r="P484">
        <f t="shared" ca="1" si="74"/>
        <v>0.42178548601961169</v>
      </c>
      <c r="Q484">
        <f t="shared" ca="1" si="79"/>
        <v>0.46114736497094466</v>
      </c>
      <c r="R484">
        <f t="shared" ca="1" si="80"/>
        <v>118.54678421896993</v>
      </c>
      <c r="T484">
        <f t="shared" si="75"/>
        <v>1.966666666666661</v>
      </c>
      <c r="U484">
        <f t="shared" ca="1" si="76"/>
        <v>3.4888677878070699E-2</v>
      </c>
      <c r="V484">
        <f t="shared" ca="1" si="77"/>
        <v>-4.0677570238773194E-3</v>
      </c>
      <c r="W484">
        <f t="shared" ca="1" si="81"/>
        <v>3.0820920854193381E-2</v>
      </c>
      <c r="X484">
        <f t="shared" ca="1" si="82"/>
        <v>104.6968545550663</v>
      </c>
    </row>
    <row r="485" spans="1:24" x14ac:dyDescent="0.25">
      <c r="A485">
        <f t="shared" ca="1" si="73"/>
        <v>102.81239130705391</v>
      </c>
      <c r="N485">
        <f t="shared" si="78"/>
        <v>1.9708333333333277</v>
      </c>
      <c r="O485" cm="1">
        <f t="array" aca="1" ref="O485" ca="1">mu*dt_1*R484</f>
        <v>3.9515594739656643E-2</v>
      </c>
      <c r="P485">
        <f t="shared" ca="1" si="74"/>
        <v>-2.2345602818036436</v>
      </c>
      <c r="Q485">
        <f t="shared" ca="1" si="79"/>
        <v>-2.1950446870639868</v>
      </c>
      <c r="R485">
        <f t="shared" ca="1" si="80"/>
        <v>116.35173953190595</v>
      </c>
      <c r="T485">
        <f t="shared" si="75"/>
        <v>1.9708333333333277</v>
      </c>
      <c r="U485">
        <f t="shared" ca="1" si="76"/>
        <v>3.4898951518355432E-2</v>
      </c>
      <c r="V485">
        <f t="shared" ca="1" si="77"/>
        <v>-1.9193621995307377</v>
      </c>
      <c r="W485">
        <f t="shared" ca="1" si="81"/>
        <v>-1.8844632480123822</v>
      </c>
      <c r="X485">
        <f t="shared" ca="1" si="82"/>
        <v>102.81239130705391</v>
      </c>
    </row>
    <row r="486" spans="1:24" x14ac:dyDescent="0.25">
      <c r="A486">
        <f t="shared" ca="1" si="73"/>
        <v>104.06166693185492</v>
      </c>
      <c r="N486">
        <f t="shared" si="78"/>
        <v>1.9749999999999943</v>
      </c>
      <c r="O486" cm="1">
        <f t="array" aca="1" ref="O486" ca="1">mu*dt_1*R485</f>
        <v>3.8783913177301982E-2</v>
      </c>
      <c r="P486">
        <f t="shared" ca="1" si="74"/>
        <v>-0.47536495938512546</v>
      </c>
      <c r="Q486">
        <f t="shared" ca="1" si="79"/>
        <v>-0.43658104620782345</v>
      </c>
      <c r="R486">
        <f t="shared" ca="1" si="80"/>
        <v>115.91515848569813</v>
      </c>
      <c r="T486">
        <f t="shared" si="75"/>
        <v>1.9749999999999943</v>
      </c>
      <c r="U486">
        <f t="shared" ca="1" si="76"/>
        <v>3.42707971023513E-2</v>
      </c>
      <c r="V486">
        <f t="shared" ca="1" si="77"/>
        <v>1.2150048276986452</v>
      </c>
      <c r="W486">
        <f t="shared" ca="1" si="81"/>
        <v>1.2492756248009964</v>
      </c>
      <c r="X486">
        <f t="shared" ca="1" si="82"/>
        <v>104.06166693185492</v>
      </c>
    </row>
    <row r="487" spans="1:24" x14ac:dyDescent="0.25">
      <c r="A487">
        <f t="shared" ca="1" si="73"/>
        <v>103.87003443333151</v>
      </c>
      <c r="N487">
        <f t="shared" si="78"/>
        <v>1.979166666666661</v>
      </c>
      <c r="O487" cm="1">
        <f t="array" aca="1" ref="O487" ca="1">mu*dt_1*R486</f>
        <v>3.8638386161899373E-2</v>
      </c>
      <c r="P487">
        <f t="shared" ca="1" si="74"/>
        <v>-0.18646169578108771</v>
      </c>
      <c r="Q487">
        <f t="shared" ca="1" si="79"/>
        <v>-0.14782330961918833</v>
      </c>
      <c r="R487">
        <f t="shared" ca="1" si="80"/>
        <v>115.76733517607894</v>
      </c>
      <c r="T487">
        <f t="shared" si="75"/>
        <v>1.979166666666661</v>
      </c>
      <c r="U487">
        <f t="shared" ca="1" si="76"/>
        <v>3.4687222310618306E-2</v>
      </c>
      <c r="V487">
        <f t="shared" ca="1" si="77"/>
        <v>-0.22631972083402654</v>
      </c>
      <c r="W487">
        <f t="shared" ca="1" si="81"/>
        <v>-0.19163249852340825</v>
      </c>
      <c r="X487">
        <f t="shared" ca="1" si="82"/>
        <v>103.87003443333151</v>
      </c>
    </row>
    <row r="488" spans="1:24" x14ac:dyDescent="0.25">
      <c r="A488">
        <f t="shared" ca="1" si="73"/>
        <v>105.39511886541629</v>
      </c>
      <c r="N488">
        <f t="shared" si="78"/>
        <v>1.9833333333333276</v>
      </c>
      <c r="O488" cm="1">
        <f t="array" aca="1" ref="O488" ca="1">mu*dt_1*R487</f>
        <v>3.858911172535965E-2</v>
      </c>
      <c r="P488">
        <f t="shared" ca="1" si="74"/>
        <v>-1.4050661618931177</v>
      </c>
      <c r="Q488">
        <f t="shared" ca="1" si="79"/>
        <v>-1.3664770501677581</v>
      </c>
      <c r="R488">
        <f t="shared" ca="1" si="80"/>
        <v>114.40085812591118</v>
      </c>
      <c r="T488">
        <f t="shared" si="75"/>
        <v>1.9833333333333276</v>
      </c>
      <c r="U488">
        <f t="shared" ca="1" si="76"/>
        <v>3.4623344811110505E-2</v>
      </c>
      <c r="V488">
        <f t="shared" ca="1" si="77"/>
        <v>1.4904610872736759</v>
      </c>
      <c r="W488">
        <f t="shared" ca="1" si="81"/>
        <v>1.5250844320847863</v>
      </c>
      <c r="X488">
        <f t="shared" ca="1" si="82"/>
        <v>105.39511886541629</v>
      </c>
    </row>
    <row r="489" spans="1:24" x14ac:dyDescent="0.25">
      <c r="A489">
        <f t="shared" ca="1" si="73"/>
        <v>104.57527474412483</v>
      </c>
      <c r="N489">
        <f t="shared" si="78"/>
        <v>1.9874999999999943</v>
      </c>
      <c r="O489" cm="1">
        <f t="array" aca="1" ref="O489" ca="1">mu*dt_1*R488</f>
        <v>3.8133619375303726E-2</v>
      </c>
      <c r="P489">
        <f t="shared" ca="1" si="74"/>
        <v>1.1044504546540983</v>
      </c>
      <c r="Q489">
        <f t="shared" ca="1" si="79"/>
        <v>1.142584074029402</v>
      </c>
      <c r="R489">
        <f t="shared" ca="1" si="80"/>
        <v>115.54344219994059</v>
      </c>
      <c r="T489">
        <f t="shared" si="75"/>
        <v>1.9874999999999943</v>
      </c>
      <c r="U489">
        <f t="shared" ca="1" si="76"/>
        <v>3.5131706288472099E-2</v>
      </c>
      <c r="V489">
        <f t="shared" ca="1" si="77"/>
        <v>-0.85497582757993751</v>
      </c>
      <c r="W489">
        <f t="shared" ca="1" si="81"/>
        <v>-0.81984412129146544</v>
      </c>
      <c r="X489">
        <f t="shared" ca="1" si="82"/>
        <v>104.57527474412483</v>
      </c>
    </row>
    <row r="490" spans="1:24" x14ac:dyDescent="0.25">
      <c r="A490">
        <f t="shared" ca="1" si="73"/>
        <v>106.55521794770056</v>
      </c>
      <c r="N490">
        <f t="shared" si="78"/>
        <v>1.9916666666666609</v>
      </c>
      <c r="O490" cm="1">
        <f t="array" aca="1" ref="O490" ca="1">mu*dt_1*R489</f>
        <v>3.8514480733313525E-2</v>
      </c>
      <c r="P490">
        <f t="shared" ca="1" si="74"/>
        <v>1.7151911719316117</v>
      </c>
      <c r="Q490">
        <f t="shared" ca="1" si="79"/>
        <v>1.7537056526649253</v>
      </c>
      <c r="R490">
        <f t="shared" ca="1" si="80"/>
        <v>117.29714785260551</v>
      </c>
      <c r="T490">
        <f t="shared" si="75"/>
        <v>1.9916666666666609</v>
      </c>
      <c r="U490">
        <f t="shared" ca="1" si="76"/>
        <v>3.4858424914708273E-2</v>
      </c>
      <c r="V490">
        <f t="shared" ca="1" si="77"/>
        <v>1.9450847786610166</v>
      </c>
      <c r="W490">
        <f t="shared" ca="1" si="81"/>
        <v>1.979943203575725</v>
      </c>
      <c r="X490">
        <f t="shared" ca="1" si="82"/>
        <v>106.55521794770056</v>
      </c>
    </row>
    <row r="491" spans="1:24" x14ac:dyDescent="0.25">
      <c r="A491">
        <f t="shared" ca="1" si="73"/>
        <v>107.96036076954368</v>
      </c>
      <c r="N491">
        <f t="shared" si="78"/>
        <v>1.9958333333333276</v>
      </c>
      <c r="O491" cm="1">
        <f t="array" aca="1" ref="O491" ca="1">mu*dt_1*R490</f>
        <v>3.9099049284201833E-2</v>
      </c>
      <c r="P491">
        <f t="shared" ca="1" si="74"/>
        <v>1.6600579096857706</v>
      </c>
      <c r="Q491">
        <f t="shared" ca="1" si="79"/>
        <v>1.6991569589699724</v>
      </c>
      <c r="R491">
        <f t="shared" ca="1" si="80"/>
        <v>118.99630481157548</v>
      </c>
      <c r="T491">
        <f t="shared" si="75"/>
        <v>1.9958333333333276</v>
      </c>
      <c r="U491">
        <f t="shared" ca="1" si="76"/>
        <v>3.551840598256685E-2</v>
      </c>
      <c r="V491">
        <f t="shared" ca="1" si="77"/>
        <v>1.3696244158605615</v>
      </c>
      <c r="W491">
        <f t="shared" ca="1" si="81"/>
        <v>1.4051428218431283</v>
      </c>
      <c r="X491">
        <f t="shared" ca="1" si="82"/>
        <v>107.96036076954368</v>
      </c>
    </row>
    <row r="492" spans="1:24" x14ac:dyDescent="0.25">
      <c r="A492">
        <f t="shared" ca="1" si="73"/>
        <v>108.62731975880217</v>
      </c>
      <c r="N492">
        <f t="shared" si="78"/>
        <v>1.9999999999999942</v>
      </c>
      <c r="O492" cm="1">
        <f t="array" aca="1" ref="O492" ca="1">mu*dt_1*R491</f>
        <v>3.9665434937191824E-2</v>
      </c>
      <c r="P492">
        <f t="shared" ca="1" si="74"/>
        <v>1.4496209973444127</v>
      </c>
      <c r="Q492">
        <f t="shared" ca="1" si="79"/>
        <v>1.4892864322816046</v>
      </c>
      <c r="R492">
        <f t="shared" ca="1" si="80"/>
        <v>120.48559124385709</v>
      </c>
      <c r="T492">
        <f t="shared" si="75"/>
        <v>1.9999999999999942</v>
      </c>
      <c r="U492">
        <f t="shared" ca="1" si="76"/>
        <v>3.5986786923181233E-2</v>
      </c>
      <c r="V492">
        <f t="shared" ca="1" si="77"/>
        <v>0.63097220233530471</v>
      </c>
      <c r="W492">
        <f t="shared" ca="1" si="81"/>
        <v>0.66695898925848596</v>
      </c>
      <c r="X492">
        <f t="shared" ca="1" si="82"/>
        <v>108.62731975880217</v>
      </c>
    </row>
    <row r="493" spans="1:24" x14ac:dyDescent="0.25">
      <c r="A493">
        <f t="shared" ca="1" si="73"/>
        <v>107.77667207757216</v>
      </c>
      <c r="N493">
        <f t="shared" si="78"/>
        <v>2.0041666666666611</v>
      </c>
      <c r="O493" cm="1">
        <f t="array" aca="1" ref="O493" ca="1">mu*dt_1*R492</f>
        <v>4.0161863747952359E-2</v>
      </c>
      <c r="P493">
        <f t="shared" ca="1" si="74"/>
        <v>-2.5131169235988611</v>
      </c>
      <c r="Q493">
        <f t="shared" ca="1" si="79"/>
        <v>-2.4729550598509089</v>
      </c>
      <c r="R493">
        <f t="shared" ca="1" si="80"/>
        <v>118.01263618400618</v>
      </c>
      <c r="T493">
        <f t="shared" si="75"/>
        <v>2.0041666666666611</v>
      </c>
      <c r="U493">
        <f t="shared" ca="1" si="76"/>
        <v>3.6209106586267394E-2</v>
      </c>
      <c r="V493">
        <f t="shared" ca="1" si="77"/>
        <v>-0.88685678781628952</v>
      </c>
      <c r="W493">
        <f t="shared" ca="1" si="81"/>
        <v>-0.8506476812300221</v>
      </c>
      <c r="X493">
        <f t="shared" ca="1" si="82"/>
        <v>107.77667207757216</v>
      </c>
    </row>
    <row r="494" spans="1:24" x14ac:dyDescent="0.25">
      <c r="A494">
        <f t="shared" ca="1" si="73"/>
        <v>107.15566549513429</v>
      </c>
      <c r="N494">
        <f t="shared" si="78"/>
        <v>2.008333333333328</v>
      </c>
      <c r="O494" cm="1">
        <f t="array" aca="1" ref="O494" ca="1">mu*dt_1*R493</f>
        <v>3.933754539466873E-2</v>
      </c>
      <c r="P494">
        <f t="shared" ca="1" si="74"/>
        <v>1.4765537060589784</v>
      </c>
      <c r="Q494">
        <f t="shared" ca="1" si="79"/>
        <v>1.5158912514536471</v>
      </c>
      <c r="R494">
        <f t="shared" ca="1" si="80"/>
        <v>119.52852743545984</v>
      </c>
      <c r="T494">
        <f t="shared" si="75"/>
        <v>2.008333333333328</v>
      </c>
      <c r="U494">
        <f t="shared" ca="1" si="76"/>
        <v>3.5925557359190716E-2</v>
      </c>
      <c r="V494">
        <f t="shared" ca="1" si="77"/>
        <v>-0.656932139797059</v>
      </c>
      <c r="W494">
        <f t="shared" ca="1" si="81"/>
        <v>-0.62100658243786833</v>
      </c>
      <c r="X494">
        <f t="shared" ca="1" si="82"/>
        <v>107.15566549513429</v>
      </c>
    </row>
    <row r="495" spans="1:24" x14ac:dyDescent="0.25">
      <c r="A495">
        <f t="shared" ca="1" si="73"/>
        <v>106.2306900215974</v>
      </c>
      <c r="N495">
        <f t="shared" si="78"/>
        <v>2.0124999999999948</v>
      </c>
      <c r="O495" cm="1">
        <f t="array" aca="1" ref="O495" ca="1">mu*dt_1*R494</f>
        <v>3.9842842478486608E-2</v>
      </c>
      <c r="P495">
        <f t="shared" ca="1" si="74"/>
        <v>-0.12499998103155457</v>
      </c>
      <c r="Q495">
        <f t="shared" ca="1" si="79"/>
        <v>-8.5157138553067974E-2</v>
      </c>
      <c r="R495">
        <f t="shared" ca="1" si="80"/>
        <v>119.44337029690676</v>
      </c>
      <c r="T495">
        <f t="shared" si="75"/>
        <v>2.0124999999999948</v>
      </c>
      <c r="U495">
        <f t="shared" ca="1" si="76"/>
        <v>3.5718555165044762E-2</v>
      </c>
      <c r="V495">
        <f t="shared" ca="1" si="77"/>
        <v>-0.96069402870192777</v>
      </c>
      <c r="W495">
        <f t="shared" ca="1" si="81"/>
        <v>-0.92497547353688303</v>
      </c>
      <c r="X495">
        <f t="shared" ca="1" si="82"/>
        <v>106.2306900215974</v>
      </c>
    </row>
    <row r="496" spans="1:24" x14ac:dyDescent="0.25">
      <c r="A496">
        <f t="shared" ca="1" si="73"/>
        <v>108.36239127548609</v>
      </c>
      <c r="N496">
        <f t="shared" si="78"/>
        <v>2.0166666666666617</v>
      </c>
      <c r="O496" cm="1">
        <f t="array" aca="1" ref="O496" ca="1">mu*dt_1*R495</f>
        <v>3.9814456765635588E-2</v>
      </c>
      <c r="P496">
        <f t="shared" ca="1" si="74"/>
        <v>1.7432884417799743</v>
      </c>
      <c r="Q496">
        <f t="shared" ca="1" si="79"/>
        <v>1.7831028985456099</v>
      </c>
      <c r="R496">
        <f t="shared" ca="1" si="80"/>
        <v>121.22647319545237</v>
      </c>
      <c r="T496">
        <f t="shared" si="75"/>
        <v>2.0166666666666617</v>
      </c>
      <c r="U496">
        <f t="shared" ca="1" si="76"/>
        <v>3.5410230007199131E-2</v>
      </c>
      <c r="V496">
        <f t="shared" ca="1" si="77"/>
        <v>2.0962910238814909</v>
      </c>
      <c r="W496">
        <f t="shared" ca="1" si="81"/>
        <v>2.1317012538886901</v>
      </c>
      <c r="X496">
        <f t="shared" ca="1" si="82"/>
        <v>108.36239127548609</v>
      </c>
    </row>
    <row r="497" spans="1:24" x14ac:dyDescent="0.25">
      <c r="A497">
        <f t="shared" ca="1" si="73"/>
        <v>109.28520182088064</v>
      </c>
      <c r="N497">
        <f t="shared" si="78"/>
        <v>2.0208333333333286</v>
      </c>
      <c r="O497" cm="1">
        <f t="array" aca="1" ref="O497" ca="1">mu*dt_1*R496</f>
        <v>4.0408824398484124E-2</v>
      </c>
      <c r="P497">
        <f t="shared" ca="1" si="74"/>
        <v>2.0255155875958806E-2</v>
      </c>
      <c r="Q497">
        <f t="shared" ca="1" si="79"/>
        <v>6.0663980274442933E-2</v>
      </c>
      <c r="R497">
        <f t="shared" ca="1" si="80"/>
        <v>121.28713717572681</v>
      </c>
      <c r="T497">
        <f t="shared" si="75"/>
        <v>2.0208333333333286</v>
      </c>
      <c r="U497">
        <f t="shared" ca="1" si="76"/>
        <v>3.6120797091828701E-2</v>
      </c>
      <c r="V497">
        <f t="shared" ca="1" si="77"/>
        <v>0.88668974830272929</v>
      </c>
      <c r="W497">
        <f t="shared" ca="1" si="81"/>
        <v>0.92281054539455798</v>
      </c>
      <c r="X497">
        <f t="shared" ca="1" si="82"/>
        <v>109.28520182088064</v>
      </c>
    </row>
    <row r="498" spans="1:24" x14ac:dyDescent="0.25">
      <c r="A498">
        <f t="shared" ca="1" si="73"/>
        <v>108.9600082728757</v>
      </c>
      <c r="N498">
        <f t="shared" si="78"/>
        <v>2.0249999999999955</v>
      </c>
      <c r="O498" cm="1">
        <f t="array" aca="1" ref="O498" ca="1">mu*dt_1*R497</f>
        <v>4.0429045725242273E-2</v>
      </c>
      <c r="P498">
        <f t="shared" ca="1" si="74"/>
        <v>-6.0486223665995785E-2</v>
      </c>
      <c r="Q498">
        <f t="shared" ca="1" si="79"/>
        <v>-2.0057177940753512E-2</v>
      </c>
      <c r="R498">
        <f t="shared" ca="1" si="80"/>
        <v>121.26707999778606</v>
      </c>
      <c r="T498">
        <f t="shared" si="75"/>
        <v>2.0249999999999955</v>
      </c>
      <c r="U498">
        <f t="shared" ca="1" si="76"/>
        <v>3.6428400606960211E-2</v>
      </c>
      <c r="V498">
        <f t="shared" ca="1" si="77"/>
        <v>-0.36162194861191199</v>
      </c>
      <c r="W498">
        <f t="shared" ca="1" si="81"/>
        <v>-0.32519354800495176</v>
      </c>
      <c r="X498">
        <f t="shared" ca="1" si="82"/>
        <v>108.9600082728757</v>
      </c>
    </row>
    <row r="499" spans="1:24" x14ac:dyDescent="0.25">
      <c r="A499">
        <f t="shared" ca="1" si="73"/>
        <v>111.34275769170254</v>
      </c>
      <c r="N499">
        <f t="shared" si="78"/>
        <v>2.0291666666666623</v>
      </c>
      <c r="O499" cm="1">
        <f t="array" aca="1" ref="O499" ca="1">mu*dt_1*R498</f>
        <v>4.0422359999262018E-2</v>
      </c>
      <c r="P499">
        <f t="shared" ca="1" si="74"/>
        <v>-0.24463079286940242</v>
      </c>
      <c r="Q499">
        <f t="shared" ca="1" si="79"/>
        <v>-0.2042084328701404</v>
      </c>
      <c r="R499">
        <f t="shared" ca="1" si="80"/>
        <v>121.06287156491591</v>
      </c>
      <c r="T499">
        <f t="shared" si="75"/>
        <v>2.0291666666666623</v>
      </c>
      <c r="U499">
        <f t="shared" ca="1" si="76"/>
        <v>3.6320002757625237E-2</v>
      </c>
      <c r="V499">
        <f t="shared" ca="1" si="77"/>
        <v>2.3464294160692263</v>
      </c>
      <c r="W499">
        <f t="shared" ca="1" si="81"/>
        <v>2.3827494188268514</v>
      </c>
      <c r="X499">
        <f t="shared" ca="1" si="82"/>
        <v>111.34275769170254</v>
      </c>
    </row>
    <row r="500" spans="1:24" x14ac:dyDescent="0.25">
      <c r="A500">
        <f t="shared" ca="1" si="73"/>
        <v>113.27381885945674</v>
      </c>
      <c r="N500">
        <f t="shared" si="78"/>
        <v>2.0333333333333292</v>
      </c>
      <c r="O500" cm="1">
        <f t="array" aca="1" ref="O500" ca="1">mu*dt_1*R499</f>
        <v>4.0354290521638636E-2</v>
      </c>
      <c r="P500">
        <f t="shared" ca="1" si="74"/>
        <v>-0.53422366633011209</v>
      </c>
      <c r="Q500">
        <f t="shared" ca="1" si="79"/>
        <v>-0.49386937580847345</v>
      </c>
      <c r="R500">
        <f t="shared" ca="1" si="80"/>
        <v>120.56900218910744</v>
      </c>
      <c r="T500">
        <f t="shared" si="75"/>
        <v>2.0333333333333292</v>
      </c>
      <c r="U500">
        <f t="shared" ca="1" si="76"/>
        <v>3.711425256390085E-2</v>
      </c>
      <c r="V500">
        <f t="shared" ca="1" si="77"/>
        <v>1.893946915190295</v>
      </c>
      <c r="W500">
        <f t="shared" ca="1" si="81"/>
        <v>1.9310611677541958</v>
      </c>
      <c r="X500">
        <f t="shared" ca="1" si="82"/>
        <v>113.27381885945674</v>
      </c>
    </row>
    <row r="501" spans="1:24" x14ac:dyDescent="0.25">
      <c r="A501">
        <f t="shared" ca="1" si="73"/>
        <v>112.55562375030519</v>
      </c>
      <c r="N501">
        <f t="shared" ref="N501:N510" si="83">N500+$C$8</f>
        <v>2.0374999999999961</v>
      </c>
      <c r="O501" cm="1">
        <f t="array" aca="1" ref="O501" ca="1">mu*dt_1*R500</f>
        <v>4.0189667396369144E-2</v>
      </c>
      <c r="P501">
        <f t="shared" ca="1" si="74"/>
        <v>0.29848973138583407</v>
      </c>
      <c r="Q501">
        <f t="shared" ref="Q501:Q510" ca="1" si="84">O501+P501</f>
        <v>0.33867939878220321</v>
      </c>
      <c r="R501">
        <f t="shared" ref="R501:R510" ca="1" si="85">R500+Q501</f>
        <v>120.90768158788964</v>
      </c>
      <c r="T501">
        <f t="shared" si="75"/>
        <v>2.0374999999999961</v>
      </c>
      <c r="U501">
        <f t="shared" ca="1" si="76"/>
        <v>3.7757939619818909E-2</v>
      </c>
      <c r="V501">
        <f t="shared" ca="1" si="77"/>
        <v>-0.75595304877136327</v>
      </c>
      <c r="W501">
        <f t="shared" ref="W501:W510" ca="1" si="86">U501+V501</f>
        <v>-0.71819510915154439</v>
      </c>
      <c r="X501">
        <f t="shared" ref="X501:X510" ca="1" si="87">X500+W501</f>
        <v>112.55562375030519</v>
      </c>
    </row>
    <row r="502" spans="1:24" x14ac:dyDescent="0.25">
      <c r="A502">
        <f t="shared" ca="1" si="73"/>
        <v>113.15324481830258</v>
      </c>
      <c r="N502">
        <f t="shared" si="83"/>
        <v>2.041666666666663</v>
      </c>
      <c r="O502" cm="1">
        <f t="array" aca="1" ref="O502" ca="1">mu*dt_1*R501</f>
        <v>4.0302560529296545E-2</v>
      </c>
      <c r="P502">
        <f t="shared" ca="1" si="74"/>
        <v>1.868986520533598</v>
      </c>
      <c r="Q502">
        <f t="shared" ca="1" si="84"/>
        <v>1.9092890810628946</v>
      </c>
      <c r="R502">
        <f t="shared" ca="1" si="85"/>
        <v>122.81697066895254</v>
      </c>
      <c r="T502">
        <f t="shared" si="75"/>
        <v>2.041666666666663</v>
      </c>
      <c r="U502">
        <f t="shared" ca="1" si="76"/>
        <v>3.7518541250101727E-2</v>
      </c>
      <c r="V502">
        <f t="shared" ca="1" si="77"/>
        <v>0.56010252674728644</v>
      </c>
      <c r="W502">
        <f t="shared" ca="1" si="86"/>
        <v>0.59762106799738812</v>
      </c>
      <c r="X502">
        <f t="shared" ca="1" si="87"/>
        <v>113.15324481830258</v>
      </c>
    </row>
    <row r="503" spans="1:24" x14ac:dyDescent="0.25">
      <c r="A503">
        <f t="shared" ca="1" si="73"/>
        <v>112.60886449454455</v>
      </c>
      <c r="N503">
        <f t="shared" si="83"/>
        <v>2.0458333333333298</v>
      </c>
      <c r="O503" cm="1">
        <f t="array" aca="1" ref="O503" ca="1">mu*dt_1*R502</f>
        <v>4.0938990222984174E-2</v>
      </c>
      <c r="P503">
        <f t="shared" ca="1" si="74"/>
        <v>-1.1685737119306785</v>
      </c>
      <c r="Q503">
        <f t="shared" ca="1" si="84"/>
        <v>-1.1276347217076943</v>
      </c>
      <c r="R503">
        <f t="shared" ca="1" si="85"/>
        <v>121.68933594724484</v>
      </c>
      <c r="T503">
        <f t="shared" si="75"/>
        <v>2.0458333333333298</v>
      </c>
      <c r="U503">
        <f t="shared" ca="1" si="76"/>
        <v>3.7717748272767526E-2</v>
      </c>
      <c r="V503">
        <f t="shared" ca="1" si="77"/>
        <v>-0.58209807203080766</v>
      </c>
      <c r="W503">
        <f t="shared" ca="1" si="86"/>
        <v>-0.54438032375804013</v>
      </c>
      <c r="X503">
        <f t="shared" ca="1" si="87"/>
        <v>112.60886449454455</v>
      </c>
    </row>
    <row r="504" spans="1:24" x14ac:dyDescent="0.25">
      <c r="A504">
        <f t="shared" ca="1" si="73"/>
        <v>113.35001899919408</v>
      </c>
      <c r="N504">
        <f t="shared" si="83"/>
        <v>2.0499999999999967</v>
      </c>
      <c r="O504" cm="1">
        <f t="array" aca="1" ref="O504" ca="1">mu*dt_1*R503</f>
        <v>4.0563111982414947E-2</v>
      </c>
      <c r="P504">
        <f t="shared" ca="1" si="74"/>
        <v>-1.0039478070148904</v>
      </c>
      <c r="Q504">
        <f t="shared" ca="1" si="84"/>
        <v>-0.96338469503247548</v>
      </c>
      <c r="R504">
        <f t="shared" ca="1" si="85"/>
        <v>120.72595125221237</v>
      </c>
      <c r="T504">
        <f t="shared" si="75"/>
        <v>2.0499999999999967</v>
      </c>
      <c r="U504">
        <f t="shared" ca="1" si="76"/>
        <v>3.7536288164848185E-2</v>
      </c>
      <c r="V504">
        <f t="shared" ca="1" si="77"/>
        <v>0.70361821648468181</v>
      </c>
      <c r="W504">
        <f t="shared" ca="1" si="86"/>
        <v>0.74115450464953003</v>
      </c>
      <c r="X504">
        <f t="shared" ca="1" si="87"/>
        <v>113.35001899919408</v>
      </c>
    </row>
    <row r="505" spans="1:24" x14ac:dyDescent="0.25">
      <c r="A505">
        <f t="shared" ca="1" si="73"/>
        <v>114.77448220078081</v>
      </c>
      <c r="N505">
        <f t="shared" si="83"/>
        <v>2.0541666666666636</v>
      </c>
      <c r="O505" cm="1">
        <f t="array" aca="1" ref="O505" ca="1">mu*dt_1*R504</f>
        <v>4.0241983750737453E-2</v>
      </c>
      <c r="P505">
        <f t="shared" ca="1" si="74"/>
        <v>-2.6576259975958938</v>
      </c>
      <c r="Q505">
        <f t="shared" ca="1" si="84"/>
        <v>-2.6173840138451565</v>
      </c>
      <c r="R505">
        <f t="shared" ca="1" si="85"/>
        <v>118.10856723836721</v>
      </c>
      <c r="T505">
        <f t="shared" si="75"/>
        <v>2.0541666666666636</v>
      </c>
      <c r="U505">
        <f t="shared" ca="1" si="76"/>
        <v>3.7783339666398026E-2</v>
      </c>
      <c r="V505">
        <f t="shared" ca="1" si="77"/>
        <v>1.3866798619203375</v>
      </c>
      <c r="W505">
        <f t="shared" ca="1" si="86"/>
        <v>1.4244632015867356</v>
      </c>
      <c r="X505">
        <f t="shared" ca="1" si="87"/>
        <v>114.77448220078081</v>
      </c>
    </row>
    <row r="506" spans="1:24" x14ac:dyDescent="0.25">
      <c r="A506">
        <f t="shared" ca="1" si="73"/>
        <v>112.22485509946318</v>
      </c>
      <c r="N506">
        <f t="shared" si="83"/>
        <v>2.0583333333333305</v>
      </c>
      <c r="O506" cm="1">
        <f t="array" aca="1" ref="O506" ca="1">mu*dt_1*R505</f>
        <v>3.9369522412789071E-2</v>
      </c>
      <c r="P506">
        <f t="shared" ca="1" si="74"/>
        <v>1.7306144823790002</v>
      </c>
      <c r="Q506">
        <f t="shared" ca="1" si="84"/>
        <v>1.7699840047917892</v>
      </c>
      <c r="R506">
        <f t="shared" ca="1" si="85"/>
        <v>119.87855124315901</v>
      </c>
      <c r="T506">
        <f t="shared" si="75"/>
        <v>2.0583333333333305</v>
      </c>
      <c r="U506">
        <f t="shared" ca="1" si="76"/>
        <v>3.8258160733593602E-2</v>
      </c>
      <c r="V506">
        <f t="shared" ca="1" si="77"/>
        <v>-2.5878852620512176</v>
      </c>
      <c r="W506">
        <f t="shared" ca="1" si="86"/>
        <v>-2.5496271013176242</v>
      </c>
      <c r="X506">
        <f t="shared" ca="1" si="87"/>
        <v>112.22485509946318</v>
      </c>
    </row>
    <row r="507" spans="1:24" x14ac:dyDescent="0.25">
      <c r="A507">
        <f t="shared" ca="1" si="73"/>
        <v>113.0627914856311</v>
      </c>
      <c r="N507">
        <f t="shared" si="83"/>
        <v>2.0624999999999973</v>
      </c>
      <c r="O507" cm="1">
        <f t="array" aca="1" ref="O507" ca="1">mu*dt_1*R506</f>
        <v>3.9959517081053005E-2</v>
      </c>
      <c r="P507">
        <f t="shared" ca="1" si="74"/>
        <v>1.293729344593471</v>
      </c>
      <c r="Q507">
        <f t="shared" ca="1" si="84"/>
        <v>1.3336888616745239</v>
      </c>
      <c r="R507">
        <f t="shared" ca="1" si="85"/>
        <v>121.21224010483353</v>
      </c>
      <c r="T507">
        <f t="shared" si="75"/>
        <v>2.0624999999999973</v>
      </c>
      <c r="U507">
        <f t="shared" ca="1" si="76"/>
        <v>3.7408285033154395E-2</v>
      </c>
      <c r="V507">
        <f t="shared" ca="1" si="77"/>
        <v>0.80052810113475636</v>
      </c>
      <c r="W507">
        <f t="shared" ca="1" si="86"/>
        <v>0.83793638616791077</v>
      </c>
      <c r="X507">
        <f t="shared" ca="1" si="87"/>
        <v>113.0627914856311</v>
      </c>
    </row>
    <row r="508" spans="1:24" x14ac:dyDescent="0.25">
      <c r="A508">
        <f t="shared" ca="1" si="73"/>
        <v>112.17793978187306</v>
      </c>
      <c r="N508">
        <f t="shared" si="83"/>
        <v>2.0666666666666642</v>
      </c>
      <c r="O508" cm="1">
        <f t="array" aca="1" ref="O508" ca="1">mu*dt_1*R507</f>
        <v>4.0404080034944508E-2</v>
      </c>
      <c r="P508">
        <f t="shared" ca="1" si="74"/>
        <v>-2.3957493689856859</v>
      </c>
      <c r="Q508">
        <f t="shared" ca="1" si="84"/>
        <v>-2.3553452889507414</v>
      </c>
      <c r="R508">
        <f t="shared" ca="1" si="85"/>
        <v>118.85689481588278</v>
      </c>
      <c r="T508">
        <f t="shared" si="75"/>
        <v>2.0666666666666642</v>
      </c>
      <c r="U508">
        <f t="shared" ca="1" si="76"/>
        <v>3.7687597161877029E-2</v>
      </c>
      <c r="V508">
        <f t="shared" ca="1" si="77"/>
        <v>-0.92253930091990444</v>
      </c>
      <c r="W508">
        <f t="shared" ca="1" si="86"/>
        <v>-0.88485170375802746</v>
      </c>
      <c r="X508">
        <f t="shared" ca="1" si="87"/>
        <v>112.17793978187306</v>
      </c>
    </row>
    <row r="509" spans="1:24" x14ac:dyDescent="0.25">
      <c r="A509">
        <f t="shared" ca="1" si="73"/>
        <v>111.42893071656029</v>
      </c>
      <c r="N509">
        <f t="shared" si="83"/>
        <v>2.0708333333333311</v>
      </c>
      <c r="O509" cm="1">
        <f t="array" aca="1" ref="O509" ca="1">mu*dt_1*R508</f>
        <v>3.9618964938627592E-2</v>
      </c>
      <c r="P509">
        <f t="shared" ca="1" si="74"/>
        <v>-2.7617333575161087</v>
      </c>
      <c r="Q509">
        <f t="shared" ca="1" si="84"/>
        <v>-2.7221143925774811</v>
      </c>
      <c r="R509">
        <f t="shared" ca="1" si="85"/>
        <v>116.1347804233053</v>
      </c>
      <c r="T509">
        <f t="shared" si="75"/>
        <v>2.0708333333333311</v>
      </c>
      <c r="U509">
        <f t="shared" ca="1" si="76"/>
        <v>3.739264659395769E-2</v>
      </c>
      <c r="V509">
        <f t="shared" ca="1" si="77"/>
        <v>-0.78640171190673547</v>
      </c>
      <c r="W509">
        <f t="shared" ca="1" si="86"/>
        <v>-0.74900906531277778</v>
      </c>
      <c r="X509">
        <f t="shared" ca="1" si="87"/>
        <v>111.42893071656029</v>
      </c>
    </row>
    <row r="510" spans="1:24" x14ac:dyDescent="0.25">
      <c r="A510">
        <f t="shared" ca="1" si="73"/>
        <v>111.24206997080236</v>
      </c>
      <c r="N510">
        <f t="shared" si="83"/>
        <v>2.074999999999998</v>
      </c>
      <c r="O510" cm="1">
        <f t="array" aca="1" ref="O510" ca="1">mu*dt_1*R509</f>
        <v>3.8711593474435098E-2</v>
      </c>
      <c r="P510">
        <f t="shared" ca="1" si="74"/>
        <v>3.9058157475993514</v>
      </c>
      <c r="Q510">
        <f t="shared" ca="1" si="84"/>
        <v>3.9445273410737864</v>
      </c>
      <c r="R510">
        <f t="shared" ca="1" si="85"/>
        <v>120.07930776437908</v>
      </c>
      <c r="T510">
        <f t="shared" si="75"/>
        <v>2.074999999999998</v>
      </c>
      <c r="U510">
        <f t="shared" ca="1" si="76"/>
        <v>3.7142976905520091E-2</v>
      </c>
      <c r="V510">
        <f t="shared" ca="1" si="77"/>
        <v>-0.22400372266344196</v>
      </c>
      <c r="W510">
        <f t="shared" ca="1" si="86"/>
        <v>-0.18686074575792186</v>
      </c>
      <c r="X510">
        <f t="shared" ca="1" si="87"/>
        <v>111.24206997080236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e">
                <anchor moveWithCells="1" sizeWithCells="1">
                  <from>
                    <xdr:col>10</xdr:col>
                    <xdr:colOff>542925</xdr:colOff>
                    <xdr:row>7</xdr:row>
                    <xdr:rowOff>123825</xdr:rowOff>
                  </from>
                  <to>
                    <xdr:col>11</xdr:col>
                    <xdr:colOff>581025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Sheet1</vt:lpstr>
      <vt:lpstr>dt_1</vt:lpstr>
      <vt:lpstr>dt_2</vt:lpstr>
      <vt:lpstr>mu</vt:lpstr>
      <vt:lpstr>mu_2</vt:lpstr>
      <vt:lpstr>rho</vt:lpstr>
      <vt:lpstr>S0</vt:lpstr>
      <vt:lpstr>S0_2</vt:lpstr>
      <vt:lpstr>sigma</vt:lpstr>
      <vt:lpstr>sigma_1</vt:lpstr>
      <vt:lpstr>sigma1</vt:lpstr>
      <vt:lpstr>sigma2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2023-02-17T14:16:41Z</dcterms:created>
  <dcterms:modified xsi:type="dcterms:W3CDTF">2023-02-18T03:41:25Z</dcterms:modified>
</cp:coreProperties>
</file>